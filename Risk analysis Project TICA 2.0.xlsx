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4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Tica Files\"/>
    </mc:Choice>
  </mc:AlternateContent>
  <xr:revisionPtr revIDLastSave="0" documentId="8_{177FA896-4ED0-434B-905B-E0B0EC9626BF}" xr6:coauthVersionLast="47" xr6:coauthVersionMax="47" xr10:uidLastSave="{00000000-0000-0000-0000-000000000000}"/>
  <bookViews>
    <workbookView xWindow="-110" yWindow="-110" windowWidth="19420" windowHeight="10300" activeTab="6" xr2:uid="{F86E953D-EE20-4644-96D4-B6C2C7107623}"/>
  </bookViews>
  <sheets>
    <sheet name="Credit Score" sheetId="3" r:id="rId1"/>
    <sheet name="DTI Ratio" sheetId="4" r:id="rId2"/>
    <sheet name="Dti Threshold" sheetId="6" r:id="rId3"/>
    <sheet name="Loan purpose" sheetId="8" r:id="rId4"/>
    <sheet name="Employment Status" sheetId="9" r:id="rId5"/>
    <sheet name="Credit score cut off" sheetId="14" r:id="rId6"/>
    <sheet name="Main data" sheetId="2" r:id="rId7"/>
    <sheet name="Dashboard" sheetId="15" r:id="rId8"/>
  </sheets>
  <definedNames>
    <definedName name="ExternalData_1" localSheetId="6" hidden="1">'Main data'!$A$1:$Y$602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604" i="2" l="1"/>
  <c r="Y603" i="2"/>
  <c r="G7" i="14"/>
  <c r="G6" i="14"/>
  <c r="C21" i="6"/>
  <c r="F5" i="14"/>
  <c r="F6" i="14"/>
  <c r="F7" i="14"/>
  <c r="F8" i="14"/>
  <c r="F4" i="14"/>
  <c r="J20" i="2" a="1"/>
  <c r="J21" i="2" a="1"/>
  <c r="E5" i="6"/>
  <c r="E6" i="6"/>
  <c r="E7" i="6"/>
  <c r="E8" i="6"/>
  <c r="E4" i="6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J251" i="2" a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J524" i="2" a="1"/>
  <c r="J525" i="2" a="1"/>
  <c r="J526" i="2" a="1"/>
  <c r="J527" i="2" a="1"/>
  <c r="J528" i="2" a="1"/>
  <c r="J529" i="2" a="1"/>
  <c r="J530" i="2" a="1"/>
  <c r="J531" i="2" a="1"/>
  <c r="J532" i="2" a="1"/>
  <c r="J533" i="2" a="1"/>
  <c r="J534" i="2" a="1"/>
  <c r="J535" i="2" a="1"/>
  <c r="J536" i="2" a="1"/>
  <c r="J537" i="2" a="1"/>
  <c r="J538" i="2" a="1"/>
  <c r="J539" i="2" a="1"/>
  <c r="J540" i="2" a="1"/>
  <c r="J541" i="2" a="1"/>
  <c r="J542" i="2" a="1"/>
  <c r="J543" i="2" a="1"/>
  <c r="J544" i="2" a="1"/>
  <c r="J545" i="2" a="1"/>
  <c r="J546" i="2" a="1"/>
  <c r="J547" i="2" a="1"/>
  <c r="J548" i="2" a="1"/>
  <c r="J549" i="2" a="1"/>
  <c r="J550" i="2" a="1"/>
  <c r="J551" i="2" a="1"/>
  <c r="J552" i="2" a="1"/>
  <c r="J553" i="2" a="1"/>
  <c r="J554" i="2" a="1"/>
  <c r="J555" i="2" a="1"/>
  <c r="J556" i="2" a="1"/>
  <c r="J557" i="2" a="1"/>
  <c r="J558" i="2" a="1"/>
  <c r="J559" i="2" a="1"/>
  <c r="J560" i="2" a="1"/>
  <c r="J561" i="2" a="1"/>
  <c r="J562" i="2" a="1"/>
  <c r="J563" i="2" a="1"/>
  <c r="J564" i="2" a="1"/>
  <c r="J565" i="2" a="1"/>
  <c r="J566" i="2" a="1"/>
  <c r="J567" i="2" a="1"/>
  <c r="J568" i="2" a="1"/>
  <c r="J569" i="2" a="1"/>
  <c r="J570" i="2" a="1"/>
  <c r="J571" i="2" a="1"/>
  <c r="J572" i="2" a="1"/>
  <c r="J573" i="2" a="1"/>
  <c r="J574" i="2" a="1"/>
  <c r="J575" i="2" a="1"/>
  <c r="J576" i="2" a="1"/>
  <c r="J577" i="2" a="1"/>
  <c r="J578" i="2" a="1"/>
  <c r="J579" i="2" a="1"/>
  <c r="J580" i="2" a="1"/>
  <c r="J581" i="2" a="1"/>
  <c r="J582" i="2" a="1"/>
  <c r="J583" i="2" a="1"/>
  <c r="J584" i="2" a="1"/>
  <c r="J585" i="2" a="1"/>
  <c r="J586" i="2" a="1"/>
  <c r="J587" i="2" a="1"/>
  <c r="J588" i="2" a="1"/>
  <c r="J589" i="2" a="1"/>
  <c r="J590" i="2" a="1"/>
  <c r="J591" i="2" a="1"/>
  <c r="J592" i="2" a="1"/>
  <c r="J593" i="2" a="1"/>
  <c r="J594" i="2" a="1"/>
  <c r="J595" i="2" a="1"/>
  <c r="J596" i="2" a="1"/>
  <c r="J597" i="2" a="1"/>
  <c r="J598" i="2" a="1"/>
  <c r="J599" i="2" a="1"/>
  <c r="J600" i="2" a="1"/>
  <c r="J601" i="2" a="1"/>
  <c r="J602" i="2" a="1"/>
  <c r="O2" i="2" a="1"/>
  <c r="O3" i="2" a="1"/>
  <c r="O4" i="2" a="1"/>
  <c r="O5" i="2" a="1"/>
  <c r="O6" i="2" a="1"/>
  <c r="O7" i="2" a="1"/>
  <c r="O8" i="2" a="1"/>
  <c r="O9" i="2" a="1"/>
  <c r="O10" i="2" a="1"/>
  <c r="O11" i="2" a="1"/>
  <c r="O12" i="2" a="1"/>
  <c r="O13" i="2" a="1"/>
  <c r="O14" i="2" a="1"/>
  <c r="O15" i="2" a="1"/>
  <c r="O16" i="2" a="1"/>
  <c r="O17" i="2" a="1"/>
  <c r="O18" i="2" a="1"/>
  <c r="O19" i="2" a="1"/>
  <c r="O20" i="2" a="1"/>
  <c r="O21" i="2" a="1"/>
  <c r="O22" i="2" a="1"/>
  <c r="O23" i="2" a="1"/>
  <c r="O24" i="2" a="1"/>
  <c r="O25" i="2" a="1"/>
  <c r="O26" i="2" a="1"/>
  <c r="O27" i="2" a="1"/>
  <c r="O28" i="2" a="1"/>
  <c r="O29" i="2" a="1"/>
  <c r="O30" i="2" a="1"/>
  <c r="O31" i="2" a="1"/>
  <c r="O32" i="2" a="1"/>
  <c r="O33" i="2" a="1"/>
  <c r="O34" i="2" a="1"/>
  <c r="O35" i="2" a="1"/>
  <c r="O36" i="2" a="1"/>
  <c r="O37" i="2" a="1"/>
  <c r="O38" i="2" a="1"/>
  <c r="O39" i="2" a="1"/>
  <c r="O40" i="2" a="1"/>
  <c r="O41" i="2" a="1"/>
  <c r="O42" i="2" a="1"/>
  <c r="O43" i="2" a="1"/>
  <c r="O44" i="2" a="1"/>
  <c r="O45" i="2" a="1"/>
  <c r="O46" i="2" a="1"/>
  <c r="O47" i="2" a="1"/>
  <c r="O48" i="2" a="1"/>
  <c r="O49" i="2" a="1"/>
  <c r="O50" i="2" a="1"/>
  <c r="O51" i="2" a="1"/>
  <c r="O52" i="2" a="1"/>
  <c r="O53" i="2" a="1"/>
  <c r="O54" i="2" a="1"/>
  <c r="O55" i="2" a="1"/>
  <c r="O56" i="2" a="1"/>
  <c r="O57" i="2" a="1"/>
  <c r="O58" i="2" a="1"/>
  <c r="O59" i="2" a="1"/>
  <c r="O60" i="2" a="1"/>
  <c r="O61" i="2" a="1"/>
  <c r="O62" i="2" a="1"/>
  <c r="O63" i="2" a="1"/>
  <c r="O64" i="2" a="1"/>
  <c r="O65" i="2" a="1"/>
  <c r="O66" i="2" a="1"/>
  <c r="O67" i="2" a="1"/>
  <c r="O68" i="2" a="1"/>
  <c r="O69" i="2" a="1"/>
  <c r="O70" i="2" a="1"/>
  <c r="O71" i="2" a="1"/>
  <c r="O72" i="2" a="1"/>
  <c r="O73" i="2" a="1"/>
  <c r="O74" i="2" a="1"/>
  <c r="O75" i="2" a="1"/>
  <c r="O76" i="2" a="1"/>
  <c r="O77" i="2" a="1"/>
  <c r="O78" i="2" a="1"/>
  <c r="O79" i="2" a="1"/>
  <c r="O80" i="2" a="1"/>
  <c r="O81" i="2" a="1"/>
  <c r="O82" i="2" a="1"/>
  <c r="O83" i="2" a="1"/>
  <c r="O84" i="2" a="1"/>
  <c r="O85" i="2" a="1"/>
  <c r="O86" i="2" a="1"/>
  <c r="O87" i="2" a="1"/>
  <c r="O88" i="2" a="1"/>
  <c r="O89" i="2" a="1"/>
  <c r="O90" i="2" a="1"/>
  <c r="O91" i="2" a="1"/>
  <c r="O92" i="2" a="1"/>
  <c r="O93" i="2" a="1"/>
  <c r="O94" i="2" a="1"/>
  <c r="O95" i="2" a="1"/>
  <c r="O96" i="2" a="1"/>
  <c r="O97" i="2" a="1"/>
  <c r="O98" i="2" a="1"/>
  <c r="O99" i="2" a="1"/>
  <c r="O100" i="2" a="1"/>
  <c r="O101" i="2" a="1"/>
  <c r="O102" i="2" a="1"/>
  <c r="O103" i="2" a="1"/>
  <c r="O104" i="2" a="1"/>
  <c r="O105" i="2" a="1"/>
  <c r="O106" i="2" a="1"/>
  <c r="O107" i="2" a="1"/>
  <c r="O108" i="2" a="1"/>
  <c r="O109" i="2" a="1"/>
  <c r="O110" i="2" a="1"/>
  <c r="O111" i="2" a="1"/>
  <c r="O112" i="2" a="1"/>
  <c r="O113" i="2" a="1"/>
  <c r="O114" i="2" a="1"/>
  <c r="O115" i="2" a="1"/>
  <c r="O116" i="2" a="1"/>
  <c r="O117" i="2" a="1"/>
  <c r="O118" i="2" a="1"/>
  <c r="O119" i="2" a="1"/>
  <c r="O120" i="2" a="1"/>
  <c r="O121" i="2" a="1"/>
  <c r="O122" i="2" a="1"/>
  <c r="O123" i="2" a="1"/>
  <c r="O124" i="2" a="1"/>
  <c r="O125" i="2" a="1"/>
  <c r="O126" i="2" a="1"/>
  <c r="O127" i="2" a="1"/>
  <c r="O128" i="2" a="1"/>
  <c r="O129" i="2" a="1"/>
  <c r="O130" i="2" a="1"/>
  <c r="O131" i="2" a="1"/>
  <c r="O132" i="2" a="1"/>
  <c r="O133" i="2" a="1"/>
  <c r="O134" i="2" a="1"/>
  <c r="O135" i="2" a="1"/>
  <c r="O136" i="2" a="1"/>
  <c r="O137" i="2" a="1"/>
  <c r="O138" i="2" a="1"/>
  <c r="O139" i="2" a="1"/>
  <c r="O140" i="2" a="1"/>
  <c r="O141" i="2" a="1"/>
  <c r="O142" i="2" a="1"/>
  <c r="O143" i="2" a="1"/>
  <c r="O144" i="2" a="1"/>
  <c r="O145" i="2" a="1"/>
  <c r="O146" i="2" a="1"/>
  <c r="O147" i="2" a="1"/>
  <c r="O148" i="2" a="1"/>
  <c r="O149" i="2" a="1"/>
  <c r="O150" i="2" a="1"/>
  <c r="O151" i="2" a="1"/>
  <c r="O152" i="2" a="1"/>
  <c r="O153" i="2" a="1"/>
  <c r="O154" i="2" a="1"/>
  <c r="O155" i="2" a="1"/>
  <c r="O156" i="2" a="1"/>
  <c r="O157" i="2" a="1"/>
  <c r="O158" i="2" a="1"/>
  <c r="O159" i="2" a="1"/>
  <c r="O160" i="2" a="1"/>
  <c r="O161" i="2" a="1"/>
  <c r="O162" i="2" a="1"/>
  <c r="O163" i="2" a="1"/>
  <c r="O164" i="2" a="1"/>
  <c r="O165" i="2" a="1"/>
  <c r="O166" i="2" a="1"/>
  <c r="O167" i="2" a="1"/>
  <c r="O168" i="2" a="1"/>
  <c r="O169" i="2" a="1"/>
  <c r="O170" i="2" a="1"/>
  <c r="O171" i="2" a="1"/>
  <c r="O172" i="2" a="1"/>
  <c r="O173" i="2" a="1"/>
  <c r="O174" i="2" a="1"/>
  <c r="O175" i="2" a="1"/>
  <c r="O176" i="2" a="1"/>
  <c r="O177" i="2" a="1"/>
  <c r="O178" i="2" a="1"/>
  <c r="O179" i="2" a="1"/>
  <c r="O180" i="2" a="1"/>
  <c r="O181" i="2" a="1"/>
  <c r="O182" i="2" a="1"/>
  <c r="O183" i="2" a="1"/>
  <c r="O184" i="2" a="1"/>
  <c r="O185" i="2" a="1"/>
  <c r="O186" i="2" a="1"/>
  <c r="O187" i="2" a="1"/>
  <c r="O188" i="2" a="1"/>
  <c r="O189" i="2" a="1"/>
  <c r="O190" i="2" a="1"/>
  <c r="O191" i="2" a="1"/>
  <c r="O192" i="2" a="1"/>
  <c r="O193" i="2" a="1"/>
  <c r="O194" i="2" a="1"/>
  <c r="O195" i="2" a="1"/>
  <c r="O196" i="2" a="1"/>
  <c r="O197" i="2" a="1"/>
  <c r="O198" i="2" a="1"/>
  <c r="O199" i="2" a="1"/>
  <c r="O200" i="2" a="1"/>
  <c r="O201" i="2" a="1"/>
  <c r="O202" i="2" a="1"/>
  <c r="O203" i="2" a="1"/>
  <c r="O204" i="2" a="1"/>
  <c r="O205" i="2" a="1"/>
  <c r="O206" i="2" a="1"/>
  <c r="O207" i="2" a="1"/>
  <c r="O208" i="2" a="1"/>
  <c r="O209" i="2" a="1"/>
  <c r="O210" i="2" a="1"/>
  <c r="O211" i="2" a="1"/>
  <c r="O212" i="2" a="1"/>
  <c r="O213" i="2" a="1"/>
  <c r="O214" i="2" a="1"/>
  <c r="O215" i="2" a="1"/>
  <c r="O216" i="2" a="1"/>
  <c r="O217" i="2" a="1"/>
  <c r="O218" i="2" a="1"/>
  <c r="O219" i="2" a="1"/>
  <c r="O220" i="2" a="1"/>
  <c r="O221" i="2" a="1"/>
  <c r="O222" i="2" a="1"/>
  <c r="O223" i="2" a="1"/>
  <c r="O224" i="2" a="1"/>
  <c r="O225" i="2" a="1"/>
  <c r="O226" i="2" a="1"/>
  <c r="O227" i="2" a="1"/>
  <c r="O228" i="2" a="1"/>
  <c r="O229" i="2" a="1"/>
  <c r="O230" i="2" a="1"/>
  <c r="O231" i="2" a="1"/>
  <c r="O232" i="2" a="1"/>
  <c r="O233" i="2" a="1"/>
  <c r="O234" i="2" a="1"/>
  <c r="O235" i="2" a="1"/>
  <c r="O236" i="2" a="1"/>
  <c r="O237" i="2" a="1"/>
  <c r="O238" i="2" a="1"/>
  <c r="O239" i="2" a="1"/>
  <c r="O240" i="2" a="1"/>
  <c r="O241" i="2" a="1"/>
  <c r="O242" i="2" a="1"/>
  <c r="O243" i="2" a="1"/>
  <c r="O244" i="2" a="1"/>
  <c r="O245" i="2" a="1"/>
  <c r="O246" i="2" a="1"/>
  <c r="O247" i="2" a="1"/>
  <c r="O248" i="2" a="1"/>
  <c r="O249" i="2" a="1"/>
  <c r="O250" i="2" a="1"/>
  <c r="O251" i="2" a="1"/>
  <c r="O252" i="2" a="1"/>
  <c r="O253" i="2" a="1"/>
  <c r="O254" i="2" a="1"/>
  <c r="O255" i="2" a="1"/>
  <c r="O256" i="2" a="1"/>
  <c r="O257" i="2" a="1"/>
  <c r="O258" i="2" a="1"/>
  <c r="O259" i="2" a="1"/>
  <c r="O260" i="2" a="1"/>
  <c r="O261" i="2" a="1"/>
  <c r="O262" i="2" a="1"/>
  <c r="O263" i="2" a="1"/>
  <c r="O264" i="2" a="1"/>
  <c r="O265" i="2" a="1"/>
  <c r="O266" i="2" a="1"/>
  <c r="O267" i="2" a="1"/>
  <c r="O268" i="2" a="1"/>
  <c r="O269" i="2" a="1"/>
  <c r="O270" i="2" a="1"/>
  <c r="O271" i="2" a="1"/>
  <c r="O272" i="2" a="1"/>
  <c r="O273" i="2" a="1"/>
  <c r="O274" i="2" a="1"/>
  <c r="O275" i="2" a="1"/>
  <c r="O276" i="2" a="1"/>
  <c r="O277" i="2" a="1"/>
  <c r="O278" i="2" a="1"/>
  <c r="O279" i="2" a="1"/>
  <c r="O280" i="2" a="1"/>
  <c r="O281" i="2" a="1"/>
  <c r="O282" i="2" a="1"/>
  <c r="O283" i="2" a="1"/>
  <c r="O284" i="2" a="1"/>
  <c r="O285" i="2" a="1"/>
  <c r="O286" i="2" a="1"/>
  <c r="O287" i="2" a="1"/>
  <c r="O288" i="2" a="1"/>
  <c r="O289" i="2" a="1"/>
  <c r="O290" i="2" a="1"/>
  <c r="O291" i="2" a="1"/>
  <c r="O292" i="2" a="1"/>
  <c r="O293" i="2" a="1"/>
  <c r="O294" i="2" a="1"/>
  <c r="O295" i="2" a="1"/>
  <c r="O296" i="2" a="1"/>
  <c r="O297" i="2" a="1"/>
  <c r="O298" i="2" a="1"/>
  <c r="O299" i="2" a="1"/>
  <c r="O300" i="2" a="1"/>
  <c r="O301" i="2" a="1"/>
  <c r="O302" i="2" a="1"/>
  <c r="O303" i="2" a="1"/>
  <c r="O304" i="2" a="1"/>
  <c r="O305" i="2" a="1"/>
  <c r="O306" i="2" a="1"/>
  <c r="O307" i="2" a="1"/>
  <c r="O308" i="2" a="1"/>
  <c r="O309" i="2" a="1"/>
  <c r="O310" i="2" a="1"/>
  <c r="O311" i="2" a="1"/>
  <c r="O312" i="2" a="1"/>
  <c r="O313" i="2" a="1"/>
  <c r="O314" i="2" a="1"/>
  <c r="O315" i="2" a="1"/>
  <c r="O316" i="2" a="1"/>
  <c r="O317" i="2" a="1"/>
  <c r="O318" i="2" a="1"/>
  <c r="O319" i="2" a="1"/>
  <c r="O320" i="2" a="1"/>
  <c r="O321" i="2" a="1"/>
  <c r="O322" i="2" a="1"/>
  <c r="O323" i="2" a="1"/>
  <c r="O324" i="2" a="1"/>
  <c r="O325" i="2" a="1"/>
  <c r="O326" i="2" a="1"/>
  <c r="O327" i="2" a="1"/>
  <c r="O328" i="2" a="1"/>
  <c r="O329" i="2" a="1"/>
  <c r="O330" i="2" a="1"/>
  <c r="O331" i="2" a="1"/>
  <c r="O332" i="2" a="1"/>
  <c r="O333" i="2" a="1"/>
  <c r="O334" i="2" a="1"/>
  <c r="O335" i="2" a="1"/>
  <c r="O336" i="2" a="1"/>
  <c r="O337" i="2" a="1"/>
  <c r="O338" i="2" a="1"/>
  <c r="O339" i="2" a="1"/>
  <c r="O340" i="2" a="1"/>
  <c r="O341" i="2" a="1"/>
  <c r="O342" i="2" a="1"/>
  <c r="O343" i="2" a="1"/>
  <c r="O344" i="2" a="1"/>
  <c r="O345" i="2" a="1"/>
  <c r="O346" i="2" a="1"/>
  <c r="O347" i="2" a="1"/>
  <c r="O348" i="2" a="1"/>
  <c r="O349" i="2" a="1"/>
  <c r="O350" i="2" a="1"/>
  <c r="O351" i="2" a="1"/>
  <c r="O352" i="2" a="1"/>
  <c r="O353" i="2" a="1"/>
  <c r="O354" i="2" a="1"/>
  <c r="O355" i="2" a="1"/>
  <c r="O356" i="2" a="1"/>
  <c r="O357" i="2" a="1"/>
  <c r="O358" i="2" a="1"/>
  <c r="O359" i="2" a="1"/>
  <c r="O360" i="2" a="1"/>
  <c r="O361" i="2" a="1"/>
  <c r="O362" i="2" a="1"/>
  <c r="O363" i="2" a="1"/>
  <c r="O364" i="2" a="1"/>
  <c r="O365" i="2" a="1"/>
  <c r="O366" i="2" a="1"/>
  <c r="O367" i="2" a="1"/>
  <c r="O368" i="2" a="1"/>
  <c r="O369" i="2" a="1"/>
  <c r="O370" i="2" a="1"/>
  <c r="O371" i="2" a="1"/>
  <c r="O372" i="2" a="1"/>
  <c r="O373" i="2" a="1"/>
  <c r="O374" i="2" a="1"/>
  <c r="O375" i="2" a="1"/>
  <c r="O376" i="2" a="1"/>
  <c r="O377" i="2" a="1"/>
  <c r="O378" i="2" a="1"/>
  <c r="O379" i="2" a="1"/>
  <c r="O380" i="2" a="1"/>
  <c r="O381" i="2" a="1"/>
  <c r="O382" i="2" a="1"/>
  <c r="O383" i="2" a="1"/>
  <c r="O384" i="2" a="1"/>
  <c r="O385" i="2" a="1"/>
  <c r="O386" i="2" a="1"/>
  <c r="O387" i="2" a="1"/>
  <c r="O388" i="2" a="1"/>
  <c r="O389" i="2" a="1"/>
  <c r="O390" i="2" a="1"/>
  <c r="O391" i="2" a="1"/>
  <c r="O392" i="2" a="1"/>
  <c r="O393" i="2" a="1"/>
  <c r="O394" i="2" a="1"/>
  <c r="O395" i="2" a="1"/>
  <c r="O396" i="2" a="1"/>
  <c r="O397" i="2" a="1"/>
  <c r="O398" i="2" a="1"/>
  <c r="O399" i="2" a="1"/>
  <c r="O400" i="2" a="1"/>
  <c r="O401" i="2" a="1"/>
  <c r="O402" i="2" a="1"/>
  <c r="O403" i="2" a="1"/>
  <c r="O404" i="2" a="1"/>
  <c r="O405" i="2" a="1"/>
  <c r="O406" i="2" a="1"/>
  <c r="O407" i="2" a="1"/>
  <c r="O408" i="2" a="1"/>
  <c r="O409" i="2" a="1"/>
  <c r="O410" i="2" a="1"/>
  <c r="O411" i="2" a="1"/>
  <c r="O412" i="2" a="1"/>
  <c r="O413" i="2" a="1"/>
  <c r="O414" i="2" a="1"/>
  <c r="O415" i="2" a="1"/>
  <c r="O416" i="2" a="1"/>
  <c r="O417" i="2" a="1"/>
  <c r="O418" i="2" a="1"/>
  <c r="O419" i="2" a="1"/>
  <c r="O420" i="2" a="1"/>
  <c r="O421" i="2" a="1"/>
  <c r="O422" i="2" a="1"/>
  <c r="O423" i="2" a="1"/>
  <c r="O424" i="2" a="1"/>
  <c r="O425" i="2" a="1"/>
  <c r="O426" i="2" a="1"/>
  <c r="O427" i="2" a="1"/>
  <c r="O428" i="2" a="1"/>
  <c r="O429" i="2" a="1"/>
  <c r="O430" i="2" a="1"/>
  <c r="O431" i="2" a="1"/>
  <c r="O432" i="2" a="1"/>
  <c r="O433" i="2" a="1"/>
  <c r="O434" i="2" a="1"/>
  <c r="O435" i="2" a="1"/>
  <c r="O436" i="2" a="1"/>
  <c r="O437" i="2" a="1"/>
  <c r="O438" i="2" a="1"/>
  <c r="O439" i="2" a="1"/>
  <c r="O440" i="2" a="1"/>
  <c r="O441" i="2" a="1"/>
  <c r="O442" i="2" a="1"/>
  <c r="O443" i="2" a="1"/>
  <c r="O444" i="2" a="1"/>
  <c r="O445" i="2" a="1"/>
  <c r="O446" i="2" a="1"/>
  <c r="O447" i="2" a="1"/>
  <c r="O448" i="2" a="1"/>
  <c r="O449" i="2" a="1"/>
  <c r="O450" i="2" a="1"/>
  <c r="O451" i="2" a="1"/>
  <c r="O452" i="2" a="1"/>
  <c r="O453" i="2" a="1"/>
  <c r="O454" i="2" a="1"/>
  <c r="O455" i="2" a="1"/>
  <c r="O456" i="2" a="1"/>
  <c r="O457" i="2" a="1"/>
  <c r="O458" i="2" a="1"/>
  <c r="O459" i="2" a="1"/>
  <c r="O460" i="2" a="1"/>
  <c r="O461" i="2" a="1"/>
  <c r="O462" i="2" a="1"/>
  <c r="O463" i="2" a="1"/>
  <c r="O464" i="2" a="1"/>
  <c r="O465" i="2" a="1"/>
  <c r="O466" i="2" a="1"/>
  <c r="O467" i="2" a="1"/>
  <c r="O468" i="2" a="1"/>
  <c r="O469" i="2" a="1"/>
  <c r="O470" i="2" a="1"/>
  <c r="O471" i="2" a="1"/>
  <c r="O472" i="2" a="1"/>
  <c r="O473" i="2" a="1"/>
  <c r="O474" i="2" a="1"/>
  <c r="O475" i="2" a="1"/>
  <c r="O476" i="2" a="1"/>
  <c r="O477" i="2" a="1"/>
  <c r="O478" i="2" a="1"/>
  <c r="O479" i="2" a="1"/>
  <c r="O480" i="2" a="1"/>
  <c r="O481" i="2" a="1"/>
  <c r="O482" i="2" a="1"/>
  <c r="O483" i="2" a="1"/>
  <c r="O484" i="2" a="1"/>
  <c r="O485" i="2" a="1"/>
  <c r="O486" i="2" a="1"/>
  <c r="O487" i="2" a="1"/>
  <c r="O488" i="2" a="1"/>
  <c r="O489" i="2" a="1"/>
  <c r="O490" i="2" a="1"/>
  <c r="O491" i="2" a="1"/>
  <c r="O492" i="2" a="1"/>
  <c r="O493" i="2" a="1"/>
  <c r="O494" i="2" a="1"/>
  <c r="O495" i="2" a="1"/>
  <c r="O496" i="2" a="1"/>
  <c r="O497" i="2" a="1"/>
  <c r="O498" i="2" a="1"/>
  <c r="O499" i="2" a="1"/>
  <c r="O500" i="2" a="1"/>
  <c r="O501" i="2" a="1"/>
  <c r="O502" i="2" a="1"/>
  <c r="O503" i="2" a="1"/>
  <c r="O504" i="2" a="1"/>
  <c r="O505" i="2" a="1"/>
  <c r="O506" i="2" a="1"/>
  <c r="O507" i="2" a="1"/>
  <c r="O508" i="2" a="1"/>
  <c r="O509" i="2" a="1"/>
  <c r="O510" i="2" a="1"/>
  <c r="O511" i="2" a="1"/>
  <c r="O512" i="2" a="1"/>
  <c r="O513" i="2" a="1"/>
  <c r="O514" i="2" a="1"/>
  <c r="O515" i="2" a="1"/>
  <c r="O516" i="2" a="1"/>
  <c r="O517" i="2" a="1"/>
  <c r="O518" i="2" a="1"/>
  <c r="O519" i="2" a="1"/>
  <c r="O520" i="2" a="1"/>
  <c r="O521" i="2" a="1"/>
  <c r="O522" i="2" a="1"/>
  <c r="O523" i="2" a="1"/>
  <c r="O524" i="2" a="1"/>
  <c r="O525" i="2" a="1"/>
  <c r="O526" i="2" a="1"/>
  <c r="O527" i="2" a="1"/>
  <c r="O528" i="2" a="1"/>
  <c r="O529" i="2" a="1"/>
  <c r="O530" i="2" a="1"/>
  <c r="O531" i="2" a="1"/>
  <c r="O532" i="2" a="1"/>
  <c r="O533" i="2" a="1"/>
  <c r="O534" i="2" a="1"/>
  <c r="O535" i="2" a="1"/>
  <c r="O536" i="2" a="1"/>
  <c r="O537" i="2" a="1"/>
  <c r="O538" i="2" a="1"/>
  <c r="O539" i="2" a="1"/>
  <c r="O540" i="2" a="1"/>
  <c r="O541" i="2" a="1"/>
  <c r="O542" i="2" a="1"/>
  <c r="O543" i="2" a="1"/>
  <c r="O544" i="2" a="1"/>
  <c r="O545" i="2" a="1"/>
  <c r="O546" i="2" a="1"/>
  <c r="O547" i="2" a="1"/>
  <c r="O548" i="2" a="1"/>
  <c r="O549" i="2" a="1"/>
  <c r="O550" i="2" a="1"/>
  <c r="O551" i="2" a="1"/>
  <c r="O552" i="2" a="1"/>
  <c r="O553" i="2" a="1"/>
  <c r="O554" i="2" a="1"/>
  <c r="O555" i="2" a="1"/>
  <c r="O556" i="2" a="1"/>
  <c r="O557" i="2" a="1"/>
  <c r="O558" i="2" a="1"/>
  <c r="O559" i="2" a="1"/>
  <c r="O560" i="2" a="1"/>
  <c r="O561" i="2" a="1"/>
  <c r="O562" i="2" a="1"/>
  <c r="O563" i="2" a="1"/>
  <c r="O564" i="2" a="1"/>
  <c r="O565" i="2" a="1"/>
  <c r="O566" i="2" a="1"/>
  <c r="O567" i="2" a="1"/>
  <c r="O568" i="2" a="1"/>
  <c r="O569" i="2" a="1"/>
  <c r="O570" i="2" a="1"/>
  <c r="O571" i="2" a="1"/>
  <c r="O572" i="2" a="1"/>
  <c r="O573" i="2" a="1"/>
  <c r="O574" i="2" a="1"/>
  <c r="O575" i="2" a="1"/>
  <c r="O576" i="2" a="1"/>
  <c r="O577" i="2" a="1"/>
  <c r="O578" i="2" a="1"/>
  <c r="O579" i="2" a="1"/>
  <c r="O580" i="2" a="1"/>
  <c r="O581" i="2" a="1"/>
  <c r="O582" i="2" a="1"/>
  <c r="O583" i="2" a="1"/>
  <c r="O584" i="2" a="1"/>
  <c r="O585" i="2" a="1"/>
  <c r="O586" i="2" a="1"/>
  <c r="O587" i="2" a="1"/>
  <c r="O588" i="2" a="1"/>
  <c r="O589" i="2" a="1"/>
  <c r="O590" i="2" a="1"/>
  <c r="O591" i="2" a="1"/>
  <c r="O592" i="2" a="1"/>
  <c r="O593" i="2" a="1"/>
  <c r="O594" i="2" a="1"/>
  <c r="O595" i="2" a="1"/>
  <c r="O596" i="2" a="1"/>
  <c r="O597" i="2" a="1"/>
  <c r="O598" i="2" a="1"/>
  <c r="O599" i="2" a="1"/>
  <c r="O600" i="2" a="1"/>
  <c r="O601" i="2" a="1"/>
  <c r="O602" i="2" a="1"/>
  <c r="V2" i="2" a="1"/>
  <c r="V3" i="2" a="1"/>
  <c r="V4" i="2" a="1"/>
  <c r="V5" i="2" a="1"/>
  <c r="V6" i="2" a="1"/>
  <c r="V7" i="2" a="1"/>
  <c r="V8" i="2" a="1"/>
  <c r="V9" i="2" a="1"/>
  <c r="V10" i="2" a="1"/>
  <c r="V11" i="2" a="1"/>
  <c r="V12" i="2" a="1"/>
  <c r="V13" i="2" a="1"/>
  <c r="V14" i="2" a="1"/>
  <c r="V15" i="2" a="1"/>
  <c r="V16" i="2" a="1"/>
  <c r="V17" i="2" a="1"/>
  <c r="V18" i="2" a="1"/>
  <c r="V19" i="2" a="1"/>
  <c r="V20" i="2" a="1"/>
  <c r="V21" i="2" a="1"/>
  <c r="V22" i="2" a="1"/>
  <c r="V23" i="2" a="1"/>
  <c r="V24" i="2" a="1"/>
  <c r="V25" i="2" a="1"/>
  <c r="V26" i="2" a="1"/>
  <c r="V27" i="2" a="1"/>
  <c r="V28" i="2" a="1"/>
  <c r="V29" i="2" a="1"/>
  <c r="V30" i="2" a="1"/>
  <c r="V31" i="2" a="1"/>
  <c r="V32" i="2" a="1"/>
  <c r="V33" i="2" a="1"/>
  <c r="V34" i="2" a="1"/>
  <c r="V35" i="2" a="1"/>
  <c r="V36" i="2" a="1"/>
  <c r="V37" i="2" a="1"/>
  <c r="V38" i="2" a="1"/>
  <c r="V39" i="2" a="1"/>
  <c r="V40" i="2" a="1"/>
  <c r="V41" i="2" a="1"/>
  <c r="V42" i="2" a="1"/>
  <c r="V43" i="2" a="1"/>
  <c r="V44" i="2" a="1"/>
  <c r="V45" i="2" a="1"/>
  <c r="V46" i="2" a="1"/>
  <c r="V47" i="2" a="1"/>
  <c r="V48" i="2" a="1"/>
  <c r="V49" i="2" a="1"/>
  <c r="V50" i="2" a="1"/>
  <c r="V51" i="2" a="1"/>
  <c r="V52" i="2" a="1"/>
  <c r="V53" i="2" a="1"/>
  <c r="V54" i="2" a="1"/>
  <c r="V55" i="2" a="1"/>
  <c r="V56" i="2" a="1"/>
  <c r="V57" i="2" a="1"/>
  <c r="V58" i="2" a="1"/>
  <c r="V59" i="2" a="1"/>
  <c r="V60" i="2" a="1"/>
  <c r="V61" i="2" a="1"/>
  <c r="V62" i="2" a="1"/>
  <c r="V63" i="2" a="1"/>
  <c r="V64" i="2" a="1"/>
  <c r="V65" i="2" a="1"/>
  <c r="V66" i="2" a="1"/>
  <c r="V67" i="2" a="1"/>
  <c r="V68" i="2" a="1"/>
  <c r="V69" i="2" a="1"/>
  <c r="V70" i="2" a="1"/>
  <c r="V71" i="2" a="1"/>
  <c r="V72" i="2" a="1"/>
  <c r="V73" i="2" a="1"/>
  <c r="V74" i="2" a="1"/>
  <c r="V75" i="2" a="1"/>
  <c r="V76" i="2" a="1"/>
  <c r="V77" i="2" a="1"/>
  <c r="V78" i="2" a="1"/>
  <c r="V79" i="2" a="1"/>
  <c r="V80" i="2" a="1"/>
  <c r="V81" i="2" a="1"/>
  <c r="V82" i="2" a="1"/>
  <c r="V83" i="2" a="1"/>
  <c r="V84" i="2" a="1"/>
  <c r="V85" i="2" a="1"/>
  <c r="V86" i="2" a="1"/>
  <c r="V87" i="2" a="1"/>
  <c r="V88" i="2" a="1"/>
  <c r="V89" i="2" a="1"/>
  <c r="V90" i="2" a="1"/>
  <c r="V91" i="2" a="1"/>
  <c r="V92" i="2" a="1"/>
  <c r="V93" i="2" a="1"/>
  <c r="V94" i="2" a="1"/>
  <c r="V95" i="2" a="1"/>
  <c r="V96" i="2" a="1"/>
  <c r="V97" i="2" a="1"/>
  <c r="V98" i="2" a="1"/>
  <c r="V99" i="2" a="1"/>
  <c r="V100" i="2" a="1"/>
  <c r="V101" i="2" a="1"/>
  <c r="V102" i="2" a="1"/>
  <c r="V103" i="2" a="1"/>
  <c r="V104" i="2" a="1"/>
  <c r="V105" i="2" a="1"/>
  <c r="V106" i="2" a="1"/>
  <c r="V107" i="2" a="1"/>
  <c r="V108" i="2" a="1"/>
  <c r="V109" i="2" a="1"/>
  <c r="V110" i="2" a="1"/>
  <c r="V111" i="2" a="1"/>
  <c r="V112" i="2" a="1"/>
  <c r="V113" i="2" a="1"/>
  <c r="V114" i="2" a="1"/>
  <c r="V115" i="2" a="1"/>
  <c r="V116" i="2" a="1"/>
  <c r="V117" i="2" a="1"/>
  <c r="V118" i="2" a="1"/>
  <c r="V119" i="2" a="1"/>
  <c r="V120" i="2" a="1"/>
  <c r="V121" i="2" a="1"/>
  <c r="V122" i="2" a="1"/>
  <c r="V123" i="2" a="1"/>
  <c r="V124" i="2" a="1"/>
  <c r="V125" i="2" a="1"/>
  <c r="V126" i="2" a="1"/>
  <c r="V127" i="2" a="1"/>
  <c r="V128" i="2" a="1"/>
  <c r="V129" i="2" a="1"/>
  <c r="V130" i="2" a="1"/>
  <c r="V131" i="2" a="1"/>
  <c r="V132" i="2" a="1"/>
  <c r="V133" i="2" a="1"/>
  <c r="V134" i="2" a="1"/>
  <c r="V135" i="2" a="1"/>
  <c r="V136" i="2" a="1"/>
  <c r="V137" i="2" a="1"/>
  <c r="V138" i="2" a="1"/>
  <c r="V139" i="2" a="1"/>
  <c r="V140" i="2" a="1"/>
  <c r="V141" i="2" a="1"/>
  <c r="V142" i="2" a="1"/>
  <c r="V143" i="2" a="1"/>
  <c r="V144" i="2" a="1"/>
  <c r="V145" i="2" a="1"/>
  <c r="V146" i="2" a="1"/>
  <c r="V147" i="2" a="1"/>
  <c r="V148" i="2" a="1"/>
  <c r="V149" i="2" a="1"/>
  <c r="V150" i="2" a="1"/>
  <c r="V151" i="2" a="1"/>
  <c r="V152" i="2" a="1"/>
  <c r="V153" i="2" a="1"/>
  <c r="V154" i="2" a="1"/>
  <c r="V155" i="2" a="1"/>
  <c r="V156" i="2" a="1"/>
  <c r="V157" i="2" a="1"/>
  <c r="V158" i="2" a="1"/>
  <c r="V159" i="2" a="1"/>
  <c r="V160" i="2" a="1"/>
  <c r="V161" i="2" a="1"/>
  <c r="V162" i="2" a="1"/>
  <c r="V163" i="2" a="1"/>
  <c r="V164" i="2" a="1"/>
  <c r="V165" i="2" a="1"/>
  <c r="V166" i="2" a="1"/>
  <c r="V167" i="2" a="1"/>
  <c r="V168" i="2" a="1"/>
  <c r="V169" i="2" a="1"/>
  <c r="V170" i="2" a="1"/>
  <c r="V171" i="2" a="1"/>
  <c r="V172" i="2" a="1"/>
  <c r="V173" i="2" a="1"/>
  <c r="V174" i="2" a="1"/>
  <c r="V175" i="2" a="1"/>
  <c r="V176" i="2" a="1"/>
  <c r="V177" i="2" a="1"/>
  <c r="V178" i="2" a="1"/>
  <c r="V179" i="2" a="1"/>
  <c r="V180" i="2" a="1"/>
  <c r="V181" i="2" a="1"/>
  <c r="V182" i="2" a="1"/>
  <c r="V183" i="2" a="1"/>
  <c r="V184" i="2" a="1"/>
  <c r="V185" i="2" a="1"/>
  <c r="V186" i="2" a="1"/>
  <c r="V187" i="2" a="1"/>
  <c r="V188" i="2" a="1"/>
  <c r="V189" i="2" a="1"/>
  <c r="V190" i="2" a="1"/>
  <c r="V191" i="2" a="1"/>
  <c r="V192" i="2" a="1"/>
  <c r="V193" i="2" a="1"/>
  <c r="V194" i="2" a="1"/>
  <c r="V195" i="2" a="1"/>
  <c r="V196" i="2" a="1"/>
  <c r="V197" i="2" a="1"/>
  <c r="V198" i="2" a="1"/>
  <c r="V199" i="2" a="1"/>
  <c r="V200" i="2" a="1"/>
  <c r="V201" i="2" a="1"/>
  <c r="V202" i="2" a="1"/>
  <c r="V203" i="2" a="1"/>
  <c r="V204" i="2" a="1"/>
  <c r="V205" i="2" a="1"/>
  <c r="V206" i="2" a="1"/>
  <c r="V207" i="2" a="1"/>
  <c r="V208" i="2" a="1"/>
  <c r="V209" i="2" a="1"/>
  <c r="V210" i="2" a="1"/>
  <c r="V211" i="2" a="1"/>
  <c r="V212" i="2" a="1"/>
  <c r="V213" i="2" a="1"/>
  <c r="V214" i="2" a="1"/>
  <c r="V215" i="2" a="1"/>
  <c r="V216" i="2" a="1"/>
  <c r="V217" i="2" a="1"/>
  <c r="V218" i="2" a="1"/>
  <c r="V219" i="2" a="1"/>
  <c r="V220" i="2" a="1"/>
  <c r="V221" i="2" a="1"/>
  <c r="V222" i="2" a="1"/>
  <c r="V223" i="2" a="1"/>
  <c r="V224" i="2" a="1"/>
  <c r="V225" i="2" a="1"/>
  <c r="V226" i="2" a="1"/>
  <c r="V227" i="2" a="1"/>
  <c r="V228" i="2" a="1"/>
  <c r="V229" i="2" a="1"/>
  <c r="V230" i="2" a="1"/>
  <c r="V231" i="2" a="1"/>
  <c r="V232" i="2" a="1"/>
  <c r="V233" i="2" a="1"/>
  <c r="V234" i="2" a="1"/>
  <c r="V235" i="2" a="1"/>
  <c r="V236" i="2" a="1"/>
  <c r="V237" i="2" a="1"/>
  <c r="V238" i="2" a="1"/>
  <c r="V239" i="2" a="1"/>
  <c r="V240" i="2" a="1"/>
  <c r="V241" i="2" a="1"/>
  <c r="V242" i="2" a="1"/>
  <c r="V243" i="2" a="1"/>
  <c r="V244" i="2" a="1"/>
  <c r="V245" i="2" a="1"/>
  <c r="V246" i="2" a="1"/>
  <c r="V247" i="2" a="1"/>
  <c r="V248" i="2" a="1"/>
  <c r="V249" i="2" a="1"/>
  <c r="V250" i="2" a="1"/>
  <c r="V251" i="2" a="1"/>
  <c r="V252" i="2" a="1"/>
  <c r="V253" i="2" a="1"/>
  <c r="V254" i="2" a="1"/>
  <c r="V255" i="2" a="1"/>
  <c r="V256" i="2" a="1"/>
  <c r="V257" i="2" a="1"/>
  <c r="V258" i="2" a="1"/>
  <c r="V259" i="2" a="1"/>
  <c r="V260" i="2" a="1"/>
  <c r="V261" i="2" a="1"/>
  <c r="V262" i="2" a="1"/>
  <c r="V263" i="2" a="1"/>
  <c r="V264" i="2" a="1"/>
  <c r="V265" i="2" a="1"/>
  <c r="V266" i="2" a="1"/>
  <c r="V267" i="2" a="1"/>
  <c r="V268" i="2" a="1"/>
  <c r="V269" i="2" a="1"/>
  <c r="V270" i="2" a="1"/>
  <c r="V271" i="2" a="1"/>
  <c r="V272" i="2" a="1"/>
  <c r="V273" i="2" a="1"/>
  <c r="V274" i="2" a="1"/>
  <c r="V275" i="2" a="1"/>
  <c r="V276" i="2" a="1"/>
  <c r="V277" i="2" a="1"/>
  <c r="V278" i="2" a="1"/>
  <c r="V279" i="2" a="1"/>
  <c r="V280" i="2" a="1"/>
  <c r="V281" i="2" a="1"/>
  <c r="V282" i="2" a="1"/>
  <c r="V283" i="2" a="1"/>
  <c r="V284" i="2" a="1"/>
  <c r="V285" i="2" a="1"/>
  <c r="V286" i="2" a="1"/>
  <c r="V287" i="2" a="1"/>
  <c r="V288" i="2" a="1"/>
  <c r="V289" i="2" a="1"/>
  <c r="V290" i="2" a="1"/>
  <c r="V291" i="2" a="1"/>
  <c r="V292" i="2" a="1"/>
  <c r="V293" i="2" a="1"/>
  <c r="V294" i="2" a="1"/>
  <c r="V295" i="2" a="1"/>
  <c r="V296" i="2" a="1"/>
  <c r="V297" i="2" a="1"/>
  <c r="V298" i="2" a="1"/>
  <c r="V299" i="2" a="1"/>
  <c r="V300" i="2" a="1"/>
  <c r="V301" i="2" a="1"/>
  <c r="V302" i="2" a="1"/>
  <c r="V303" i="2" a="1"/>
  <c r="V304" i="2" a="1"/>
  <c r="V305" i="2" a="1"/>
  <c r="V306" i="2" a="1"/>
  <c r="V307" i="2" a="1"/>
  <c r="V308" i="2" a="1"/>
  <c r="V309" i="2" a="1"/>
  <c r="V310" i="2" a="1"/>
  <c r="V311" i="2" a="1"/>
  <c r="V312" i="2" a="1"/>
  <c r="V313" i="2" a="1"/>
  <c r="V314" i="2" a="1"/>
  <c r="V315" i="2" a="1"/>
  <c r="V316" i="2" a="1"/>
  <c r="V317" i="2" a="1"/>
  <c r="V318" i="2" a="1"/>
  <c r="V319" i="2" a="1"/>
  <c r="V320" i="2" a="1"/>
  <c r="V321" i="2" a="1"/>
  <c r="V322" i="2" a="1"/>
  <c r="V323" i="2" a="1"/>
  <c r="V324" i="2" a="1"/>
  <c r="V325" i="2" a="1"/>
  <c r="V326" i="2" a="1"/>
  <c r="V327" i="2" a="1"/>
  <c r="V328" i="2" a="1"/>
  <c r="V329" i="2" a="1"/>
  <c r="V330" i="2" a="1"/>
  <c r="V331" i="2" a="1"/>
  <c r="V332" i="2" a="1"/>
  <c r="V333" i="2" a="1"/>
  <c r="V334" i="2" a="1"/>
  <c r="V335" i="2" a="1"/>
  <c r="V336" i="2" a="1"/>
  <c r="V337" i="2" a="1"/>
  <c r="V338" i="2" a="1"/>
  <c r="V339" i="2" a="1"/>
  <c r="V340" i="2" a="1"/>
  <c r="V341" i="2" a="1"/>
  <c r="V342" i="2" a="1"/>
  <c r="V343" i="2" a="1"/>
  <c r="V344" i="2" a="1"/>
  <c r="V345" i="2" a="1"/>
  <c r="V346" i="2" a="1"/>
  <c r="V347" i="2" a="1"/>
  <c r="V348" i="2" a="1"/>
  <c r="V349" i="2" a="1"/>
  <c r="V350" i="2" a="1"/>
  <c r="V351" i="2" a="1"/>
  <c r="V352" i="2" a="1"/>
  <c r="V353" i="2" a="1"/>
  <c r="V354" i="2" a="1"/>
  <c r="V355" i="2" a="1"/>
  <c r="V356" i="2" a="1"/>
  <c r="V357" i="2" a="1"/>
  <c r="V358" i="2" a="1"/>
  <c r="V359" i="2" a="1"/>
  <c r="V360" i="2" a="1"/>
  <c r="V361" i="2" a="1"/>
  <c r="V362" i="2" a="1"/>
  <c r="V363" i="2" a="1"/>
  <c r="V364" i="2" a="1"/>
  <c r="V365" i="2" a="1"/>
  <c r="V366" i="2" a="1"/>
  <c r="V367" i="2" a="1"/>
  <c r="V368" i="2" a="1"/>
  <c r="V369" i="2" a="1"/>
  <c r="V370" i="2" a="1"/>
  <c r="V371" i="2" a="1"/>
  <c r="V372" i="2" a="1"/>
  <c r="V373" i="2" a="1"/>
  <c r="V374" i="2" a="1"/>
  <c r="V375" i="2" a="1"/>
  <c r="V376" i="2" a="1"/>
  <c r="V377" i="2" a="1"/>
  <c r="V378" i="2" a="1"/>
  <c r="V379" i="2" a="1"/>
  <c r="V380" i="2" a="1"/>
  <c r="V381" i="2" a="1"/>
  <c r="V382" i="2" a="1"/>
  <c r="V383" i="2" a="1"/>
  <c r="V384" i="2" a="1"/>
  <c r="V385" i="2" a="1"/>
  <c r="V386" i="2" a="1"/>
  <c r="V387" i="2" a="1"/>
  <c r="V388" i="2" a="1"/>
  <c r="V389" i="2" a="1"/>
  <c r="V390" i="2" a="1"/>
  <c r="V391" i="2" a="1"/>
  <c r="V392" i="2" a="1"/>
  <c r="V393" i="2" a="1"/>
  <c r="V394" i="2" a="1"/>
  <c r="V395" i="2" a="1"/>
  <c r="V396" i="2" a="1"/>
  <c r="V397" i="2" a="1"/>
  <c r="V398" i="2" a="1"/>
  <c r="V399" i="2" a="1"/>
  <c r="V400" i="2" a="1"/>
  <c r="V401" i="2" a="1"/>
  <c r="V402" i="2" a="1"/>
  <c r="V403" i="2" a="1"/>
  <c r="V404" i="2" a="1"/>
  <c r="V405" i="2" a="1"/>
  <c r="V406" i="2" a="1"/>
  <c r="V407" i="2" a="1"/>
  <c r="V408" i="2" a="1"/>
  <c r="V409" i="2" a="1"/>
  <c r="V410" i="2" a="1"/>
  <c r="V411" i="2" a="1"/>
  <c r="V412" i="2" a="1"/>
  <c r="V413" i="2" a="1"/>
  <c r="V414" i="2" a="1"/>
  <c r="V415" i="2" a="1"/>
  <c r="V416" i="2" a="1"/>
  <c r="V417" i="2" a="1"/>
  <c r="V418" i="2" a="1"/>
  <c r="V419" i="2" a="1"/>
  <c r="V420" i="2" a="1"/>
  <c r="V421" i="2" a="1"/>
  <c r="V422" i="2" a="1"/>
  <c r="V423" i="2" a="1"/>
  <c r="V424" i="2" a="1"/>
  <c r="V425" i="2" a="1"/>
  <c r="V426" i="2" a="1"/>
  <c r="V427" i="2" a="1"/>
  <c r="V428" i="2" a="1"/>
  <c r="V429" i="2" a="1"/>
  <c r="V430" i="2" a="1"/>
  <c r="V431" i="2" a="1"/>
  <c r="V432" i="2" a="1"/>
  <c r="V433" i="2" a="1"/>
  <c r="V434" i="2" a="1"/>
  <c r="V435" i="2" a="1"/>
  <c r="V436" i="2" a="1"/>
  <c r="V437" i="2" a="1"/>
  <c r="V438" i="2" a="1"/>
  <c r="V439" i="2" a="1"/>
  <c r="V440" i="2" a="1"/>
  <c r="V441" i="2" a="1"/>
  <c r="V442" i="2" a="1"/>
  <c r="V443" i="2" a="1"/>
  <c r="V444" i="2" a="1"/>
  <c r="V445" i="2" a="1"/>
  <c r="V446" i="2" a="1"/>
  <c r="V447" i="2" a="1"/>
  <c r="V448" i="2" a="1"/>
  <c r="V449" i="2" a="1"/>
  <c r="V450" i="2" a="1"/>
  <c r="V451" i="2" a="1"/>
  <c r="V452" i="2" a="1"/>
  <c r="V453" i="2" a="1"/>
  <c r="V454" i="2" a="1"/>
  <c r="V455" i="2" a="1"/>
  <c r="V456" i="2" a="1"/>
  <c r="V457" i="2" a="1"/>
  <c r="V458" i="2" a="1"/>
  <c r="V459" i="2" a="1"/>
  <c r="V460" i="2" a="1"/>
  <c r="V461" i="2" a="1"/>
  <c r="V462" i="2" a="1"/>
  <c r="V463" i="2" a="1"/>
  <c r="V464" i="2" a="1"/>
  <c r="V465" i="2" a="1"/>
  <c r="V466" i="2" a="1"/>
  <c r="V467" i="2" a="1"/>
  <c r="V468" i="2" a="1"/>
  <c r="V469" i="2" a="1"/>
  <c r="V470" i="2" a="1"/>
  <c r="V471" i="2" a="1"/>
  <c r="V472" i="2" a="1"/>
  <c r="V473" i="2" a="1"/>
  <c r="V474" i="2" a="1"/>
  <c r="V475" i="2" a="1"/>
  <c r="V476" i="2" a="1"/>
  <c r="V477" i="2" a="1"/>
  <c r="V478" i="2" a="1"/>
  <c r="V479" i="2" a="1"/>
  <c r="V480" i="2" a="1"/>
  <c r="V481" i="2" a="1"/>
  <c r="V482" i="2" a="1"/>
  <c r="V483" i="2" a="1"/>
  <c r="V484" i="2" a="1"/>
  <c r="V485" i="2" a="1"/>
  <c r="V486" i="2" a="1"/>
  <c r="V487" i="2" a="1"/>
  <c r="V488" i="2" a="1"/>
  <c r="V489" i="2" a="1"/>
  <c r="V490" i="2" a="1"/>
  <c r="V491" i="2" a="1"/>
  <c r="V492" i="2" a="1"/>
  <c r="V493" i="2" a="1"/>
  <c r="V494" i="2" a="1"/>
  <c r="V495" i="2" a="1"/>
  <c r="V496" i="2" a="1"/>
  <c r="V497" i="2" a="1"/>
  <c r="V498" i="2" a="1"/>
  <c r="V499" i="2" a="1"/>
  <c r="V500" i="2" a="1"/>
  <c r="V501" i="2" a="1"/>
  <c r="V502" i="2" a="1"/>
  <c r="V503" i="2" a="1"/>
  <c r="V504" i="2" a="1"/>
  <c r="V505" i="2" a="1"/>
  <c r="V506" i="2" a="1"/>
  <c r="V507" i="2" a="1"/>
  <c r="V508" i="2" a="1"/>
  <c r="V509" i="2" a="1"/>
  <c r="V510" i="2" a="1"/>
  <c r="V511" i="2" a="1"/>
  <c r="V512" i="2" a="1"/>
  <c r="V513" i="2" a="1"/>
  <c r="V514" i="2" a="1"/>
  <c r="V515" i="2" a="1"/>
  <c r="V516" i="2" a="1"/>
  <c r="V517" i="2" a="1"/>
  <c r="V518" i="2" a="1"/>
  <c r="V519" i="2" a="1"/>
  <c r="V520" i="2" a="1"/>
  <c r="V521" i="2" a="1"/>
  <c r="V522" i="2" a="1"/>
  <c r="V523" i="2" a="1"/>
  <c r="V524" i="2" a="1"/>
  <c r="V525" i="2" a="1"/>
  <c r="V526" i="2" a="1"/>
  <c r="V527" i="2" a="1"/>
  <c r="V528" i="2" a="1"/>
  <c r="V529" i="2" a="1"/>
  <c r="V530" i="2" a="1"/>
  <c r="V531" i="2" a="1"/>
  <c r="V532" i="2" a="1"/>
  <c r="V533" i="2" a="1"/>
  <c r="V534" i="2" a="1"/>
  <c r="V535" i="2" a="1"/>
  <c r="V536" i="2" a="1"/>
  <c r="V537" i="2" a="1"/>
  <c r="V538" i="2" a="1"/>
  <c r="V539" i="2" a="1"/>
  <c r="V540" i="2" a="1"/>
  <c r="V541" i="2" a="1"/>
  <c r="V542" i="2" a="1"/>
  <c r="V543" i="2" a="1"/>
  <c r="V544" i="2" a="1"/>
  <c r="V545" i="2" a="1"/>
  <c r="V546" i="2" a="1"/>
  <c r="V547" i="2" a="1"/>
  <c r="V548" i="2" a="1"/>
  <c r="V549" i="2" a="1"/>
  <c r="V550" i="2" a="1"/>
  <c r="V551" i="2" a="1"/>
  <c r="V552" i="2" a="1"/>
  <c r="V553" i="2" a="1"/>
  <c r="V554" i="2" a="1"/>
  <c r="V555" i="2" a="1"/>
  <c r="V556" i="2" a="1"/>
  <c r="V557" i="2" a="1"/>
  <c r="V558" i="2" a="1"/>
  <c r="V559" i="2" a="1"/>
  <c r="V560" i="2" a="1"/>
  <c r="V561" i="2" a="1"/>
  <c r="V562" i="2" a="1"/>
  <c r="V563" i="2" a="1"/>
  <c r="V564" i="2" a="1"/>
  <c r="V565" i="2" a="1"/>
  <c r="V566" i="2" a="1"/>
  <c r="V567" i="2" a="1"/>
  <c r="V568" i="2" a="1"/>
  <c r="V569" i="2" a="1"/>
  <c r="V570" i="2" a="1"/>
  <c r="V571" i="2" a="1"/>
  <c r="V572" i="2" a="1"/>
  <c r="V573" i="2" a="1"/>
  <c r="V574" i="2" a="1"/>
  <c r="V575" i="2" a="1"/>
  <c r="V576" i="2" a="1"/>
  <c r="V577" i="2" a="1"/>
  <c r="V578" i="2" a="1"/>
  <c r="V579" i="2" a="1"/>
  <c r="V580" i="2" a="1"/>
  <c r="V581" i="2" a="1"/>
  <c r="V582" i="2" a="1"/>
  <c r="V583" i="2" a="1"/>
  <c r="V584" i="2" a="1"/>
  <c r="V585" i="2" a="1"/>
  <c r="V586" i="2" a="1"/>
  <c r="V587" i="2" a="1"/>
  <c r="V588" i="2" a="1"/>
  <c r="V589" i="2" a="1"/>
  <c r="V590" i="2" a="1"/>
  <c r="V591" i="2" a="1"/>
  <c r="V592" i="2" a="1"/>
  <c r="V593" i="2" a="1"/>
  <c r="V594" i="2" a="1"/>
  <c r="V595" i="2" a="1"/>
  <c r="V596" i="2" a="1"/>
  <c r="V597" i="2" a="1"/>
  <c r="V598" i="2" a="1"/>
  <c r="V599" i="2" a="1"/>
  <c r="V600" i="2" a="1"/>
  <c r="V601" i="2" a="1"/>
  <c r="V602" i="2" a="1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C19" i="2"/>
  <c r="AC15" i="2"/>
  <c r="AC9" i="2"/>
  <c r="AC6" i="2"/>
  <c r="AC12" i="2"/>
  <c r="AA603" i="2"/>
  <c r="Z603" i="2" l="1"/>
  <c r="Z60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FCF98E-A25F-4C69-94A1-1C9B97AD41AD}" keepAlive="1" name="Query - borrower_profiles" description="Connection to the 'borrower_profiles' query in the workbook." type="5" refreshedVersion="0" background="1">
    <dbPr connection="Provider=Microsoft.Mashup.OleDb.1;Data Source=$Workbook$;Location=borrower_profiles;Extended Properties=&quot;&quot;" command="SELECT * FROM [borrower_profiles]"/>
  </connection>
  <connection id="2" xr16:uid="{36F2A6D3-B150-4672-9601-7C617AF90A81}" keepAlive="1" name="Query - loan_applications" description="Connection to the 'loan_applications' query in the workbook." type="5" refreshedVersion="0" background="1">
    <dbPr connection="Provider=Microsoft.Mashup.OleDb.1;Data Source=$Workbook$;Location=loan_applications;Extended Properties=&quot;&quot;" command="SELECT * FROM [loan_applications]"/>
  </connection>
  <connection id="3" xr16:uid="{6FF59005-F83E-4F1F-BDC4-E3D6B7EF343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<sst xmlns="http://schemas.openxmlformats.org/spreadsheetml/2006/main" count="4957" uniqueCount="1233">
  <si>
    <t>age</t>
  </si>
  <si>
    <t>state</t>
  </si>
  <si>
    <t>education_level</t>
  </si>
  <si>
    <t>employment_status</t>
  </si>
  <si>
    <t>years_employed</t>
  </si>
  <si>
    <t>annual_income</t>
  </si>
  <si>
    <t>credit_score</t>
  </si>
  <si>
    <t>home_ownership</t>
  </si>
  <si>
    <t>dependents</t>
  </si>
  <si>
    <t>existing_monthly_debt</t>
  </si>
  <si>
    <t>loan_applications.term_months</t>
  </si>
  <si>
    <t>loan_applications.interest_rate</t>
  </si>
  <si>
    <t>loan_applications.monthly_payment</t>
  </si>
  <si>
    <t>loan_applications.days_delinquent</t>
  </si>
  <si>
    <t>CT</t>
  </si>
  <si>
    <t>High School</t>
  </si>
  <si>
    <t>Self-Employed</t>
  </si>
  <si>
    <t>Rent</t>
  </si>
  <si>
    <t>LN-00001</t>
  </si>
  <si>
    <t>BRW-0001</t>
  </si>
  <si>
    <t>Vacation</t>
  </si>
  <si>
    <t>Paid Off</t>
  </si>
  <si>
    <t>LN-00002</t>
  </si>
  <si>
    <t>Major Purchase</t>
  </si>
  <si>
    <t>Default</t>
  </si>
  <si>
    <t>CO</t>
  </si>
  <si>
    <t>Full-Time</t>
  </si>
  <si>
    <t>Own</t>
  </si>
  <si>
    <t>LN-00003</t>
  </si>
  <si>
    <t>BRW-0002</t>
  </si>
  <si>
    <t>Moving</t>
  </si>
  <si>
    <t>NC</t>
  </si>
  <si>
    <t>Bachelor</t>
  </si>
  <si>
    <t>Contract</t>
  </si>
  <si>
    <t>Mortgage</t>
  </si>
  <si>
    <t>LN-00004</t>
  </si>
  <si>
    <t>BRW-0003</t>
  </si>
  <si>
    <t>Auto Loan</t>
  </si>
  <si>
    <t>TX</t>
  </si>
  <si>
    <t>LN-00005</t>
  </si>
  <si>
    <t>BRW-0004</t>
  </si>
  <si>
    <t>Current</t>
  </si>
  <si>
    <t>NY</t>
  </si>
  <si>
    <t>LN-00006</t>
  </si>
  <si>
    <t>BRW-0005</t>
  </si>
  <si>
    <t>Education</t>
  </si>
  <si>
    <t>OR</t>
  </si>
  <si>
    <t>Doctorate</t>
  </si>
  <si>
    <t>LN-00007</t>
  </si>
  <si>
    <t>BRW-0006</t>
  </si>
  <si>
    <t>Medical Expenses</t>
  </si>
  <si>
    <t>GA</t>
  </si>
  <si>
    <t>LN-00008</t>
  </si>
  <si>
    <t>BRW-0007</t>
  </si>
  <si>
    <t>Home Improvement</t>
  </si>
  <si>
    <t>LN-00009</t>
  </si>
  <si>
    <t>Business Loan</t>
  </si>
  <si>
    <t>KY</t>
  </si>
  <si>
    <t>LN-00010</t>
  </si>
  <si>
    <t>BRW-0008</t>
  </si>
  <si>
    <t>Debt Consolidation</t>
  </si>
  <si>
    <t>UT</t>
  </si>
  <si>
    <t>Master</t>
  </si>
  <si>
    <t>Part-Time</t>
  </si>
  <si>
    <t>LN-00011</t>
  </si>
  <si>
    <t>BRW-0009</t>
  </si>
  <si>
    <t>LN-00012</t>
  </si>
  <si>
    <t>WA</t>
  </si>
  <si>
    <t>Associate</t>
  </si>
  <si>
    <t>LN-00013</t>
  </si>
  <si>
    <t>BRW-0010</t>
  </si>
  <si>
    <t>Wedding</t>
  </si>
  <si>
    <t>LN-00014</t>
  </si>
  <si>
    <t>BRW-0011</t>
  </si>
  <si>
    <t>FL</t>
  </si>
  <si>
    <t>Retired</t>
  </si>
  <si>
    <t>LN-00015</t>
  </si>
  <si>
    <t>BRW-0012</t>
  </si>
  <si>
    <t>LN-00016</t>
  </si>
  <si>
    <t>AL</t>
  </si>
  <si>
    <t>LN-00017</t>
  </si>
  <si>
    <t>BRW-0013</t>
  </si>
  <si>
    <t>LN-00018</t>
  </si>
  <si>
    <t>IN</t>
  </si>
  <si>
    <t>LN-00019</t>
  </si>
  <si>
    <t>BRW-0014</t>
  </si>
  <si>
    <t>CA</t>
  </si>
  <si>
    <t>LN-00020</t>
  </si>
  <si>
    <t>BRW-0015</t>
  </si>
  <si>
    <t>LN-00021</t>
  </si>
  <si>
    <t>BRW-0016</t>
  </si>
  <si>
    <t>Late</t>
  </si>
  <si>
    <t>AZ</t>
  </si>
  <si>
    <t>LN-00022</t>
  </si>
  <si>
    <t>BRW-0017</t>
  </si>
  <si>
    <t>MA</t>
  </si>
  <si>
    <t>LN-00023</t>
  </si>
  <si>
    <t>BRW-0018</t>
  </si>
  <si>
    <t>LN-00024</t>
  </si>
  <si>
    <t>BRW-0019</t>
  </si>
  <si>
    <t>LN-00025</t>
  </si>
  <si>
    <t>BRW-0020</t>
  </si>
  <si>
    <t>LN-00026</t>
  </si>
  <si>
    <t>BRW-0021</t>
  </si>
  <si>
    <t>LN-00027</t>
  </si>
  <si>
    <t>OH</t>
  </si>
  <si>
    <t>LN-00028</t>
  </si>
  <si>
    <t>BRW-0022</t>
  </si>
  <si>
    <t>LN-00029</t>
  </si>
  <si>
    <t>MO</t>
  </si>
  <si>
    <t>LN-00030</t>
  </si>
  <si>
    <t>BRW-0023</t>
  </si>
  <si>
    <t>LN-00031</t>
  </si>
  <si>
    <t>TN</t>
  </si>
  <si>
    <t>LN-00032</t>
  </si>
  <si>
    <t>BRW-0024</t>
  </si>
  <si>
    <t>LN-00033</t>
  </si>
  <si>
    <t>BRW-0025</t>
  </si>
  <si>
    <t>NJ</t>
  </si>
  <si>
    <t>LN-00034</t>
  </si>
  <si>
    <t>BRW-0026</t>
  </si>
  <si>
    <t>LN-00035</t>
  </si>
  <si>
    <t>BRW-0027</t>
  </si>
  <si>
    <t>LN-00036</t>
  </si>
  <si>
    <t>BRW-0028</t>
  </si>
  <si>
    <t>MN</t>
  </si>
  <si>
    <t>LN-00037</t>
  </si>
  <si>
    <t>BRW-0029</t>
  </si>
  <si>
    <t>LN-00038</t>
  </si>
  <si>
    <t>BRW-0030</t>
  </si>
  <si>
    <t>LN-00039</t>
  </si>
  <si>
    <t>BRW-0031</t>
  </si>
  <si>
    <t>LN-00040</t>
  </si>
  <si>
    <t>BRW-0032</t>
  </si>
  <si>
    <t>LN-00041</t>
  </si>
  <si>
    <t>BRW-0033</t>
  </si>
  <si>
    <t>LN-00042</t>
  </si>
  <si>
    <t>BRW-0034</t>
  </si>
  <si>
    <t>LN-00043</t>
  </si>
  <si>
    <t>VA</t>
  </si>
  <si>
    <t>LN-00044</t>
  </si>
  <si>
    <t>BRW-0035</t>
  </si>
  <si>
    <t>LN-00045</t>
  </si>
  <si>
    <t>LN-00046</t>
  </si>
  <si>
    <t>BRW-0036</t>
  </si>
  <si>
    <t>LN-00047</t>
  </si>
  <si>
    <t>BRW-0037</t>
  </si>
  <si>
    <t>LN-00048</t>
  </si>
  <si>
    <t>BRW-0038</t>
  </si>
  <si>
    <t>LN-00049</t>
  </si>
  <si>
    <t>LN-00050</t>
  </si>
  <si>
    <t>BRW-0039</t>
  </si>
  <si>
    <t>LN-00051</t>
  </si>
  <si>
    <t>BRW-0040</t>
  </si>
  <si>
    <t>LN-00052</t>
  </si>
  <si>
    <t>BRW-0041</t>
  </si>
  <si>
    <t>LN-00053</t>
  </si>
  <si>
    <t>MD</t>
  </si>
  <si>
    <t>LN-00054</t>
  </si>
  <si>
    <t>BRW-0042</t>
  </si>
  <si>
    <t>LN-00055</t>
  </si>
  <si>
    <t>BRW-0043</t>
  </si>
  <si>
    <t>SC</t>
  </si>
  <si>
    <t>LN-00056</t>
  </si>
  <si>
    <t>BRW-0044</t>
  </si>
  <si>
    <t>LN-00057</t>
  </si>
  <si>
    <t>BRW-0045</t>
  </si>
  <si>
    <t>LN-00058</t>
  </si>
  <si>
    <t>BRW-0046</t>
  </si>
  <si>
    <t>LA</t>
  </si>
  <si>
    <t>LN-00059</t>
  </si>
  <si>
    <t>BRW-0047</t>
  </si>
  <si>
    <t>LN-00060</t>
  </si>
  <si>
    <t>BRW-0048</t>
  </si>
  <si>
    <t>LN-00061</t>
  </si>
  <si>
    <t>BRW-0049</t>
  </si>
  <si>
    <t>LN-00062</t>
  </si>
  <si>
    <t>BRW-0050</t>
  </si>
  <si>
    <t>LN-00063</t>
  </si>
  <si>
    <t>BRW-0051</t>
  </si>
  <si>
    <t>LN-00064</t>
  </si>
  <si>
    <t>BRW-0052</t>
  </si>
  <si>
    <t>LN-00065</t>
  </si>
  <si>
    <t>LN-00066</t>
  </si>
  <si>
    <t>BRW-0053</t>
  </si>
  <si>
    <t>LN-00067</t>
  </si>
  <si>
    <t>BRW-0054</t>
  </si>
  <si>
    <t>LN-00068</t>
  </si>
  <si>
    <t>BRW-0055</t>
  </si>
  <si>
    <t>LN-00069</t>
  </si>
  <si>
    <t>BRW-0056</t>
  </si>
  <si>
    <t>LN-00070</t>
  </si>
  <si>
    <t>BRW-0057</t>
  </si>
  <si>
    <t>IL</t>
  </si>
  <si>
    <t>LN-00071</t>
  </si>
  <si>
    <t>BRW-0058</t>
  </si>
  <si>
    <t>LN-00072</t>
  </si>
  <si>
    <t>LN-00073</t>
  </si>
  <si>
    <t>BRW-0059</t>
  </si>
  <si>
    <t>LN-00074</t>
  </si>
  <si>
    <t>BRW-0060</t>
  </si>
  <si>
    <t>LN-00075</t>
  </si>
  <si>
    <t>BRW-0061</t>
  </si>
  <si>
    <t>PA</t>
  </si>
  <si>
    <t>LN-00076</t>
  </si>
  <si>
    <t>BRW-0062</t>
  </si>
  <si>
    <t>LN-00077</t>
  </si>
  <si>
    <t>LN-00078</t>
  </si>
  <si>
    <t>BRW-0063</t>
  </si>
  <si>
    <t>LN-00079</t>
  </si>
  <si>
    <t>BRW-0064</t>
  </si>
  <si>
    <t>LN-00080</t>
  </si>
  <si>
    <t>BRW-0065</t>
  </si>
  <si>
    <t>LN-00081</t>
  </si>
  <si>
    <t>LN-00082</t>
  </si>
  <si>
    <t>BRW-0066</t>
  </si>
  <si>
    <t>LN-00083</t>
  </si>
  <si>
    <t>LN-00084</t>
  </si>
  <si>
    <t>BRW-0067</t>
  </si>
  <si>
    <t>LN-00085</t>
  </si>
  <si>
    <t>BRW-0068</t>
  </si>
  <si>
    <t>LN-00086</t>
  </si>
  <si>
    <t>BRW-0069</t>
  </si>
  <si>
    <t>LN-00087</t>
  </si>
  <si>
    <t>BRW-0070</t>
  </si>
  <si>
    <t>LN-00088</t>
  </si>
  <si>
    <t>LN-00089</t>
  </si>
  <si>
    <t>BRW-0071</t>
  </si>
  <si>
    <t>LN-00090</t>
  </si>
  <si>
    <t>LN-00091</t>
  </si>
  <si>
    <t>BRW-0072</t>
  </si>
  <si>
    <t>LN-00092</t>
  </si>
  <si>
    <t>BRW-0073</t>
  </si>
  <si>
    <t>LN-00093</t>
  </si>
  <si>
    <t>BRW-0074</t>
  </si>
  <si>
    <t>LN-00094</t>
  </si>
  <si>
    <t>BRW-0075</t>
  </si>
  <si>
    <t>LN-00095</t>
  </si>
  <si>
    <t>BRW-0076</t>
  </si>
  <si>
    <t>LN-00096</t>
  </si>
  <si>
    <t>BRW-0077</t>
  </si>
  <si>
    <t>LN-00097</t>
  </si>
  <si>
    <t>BRW-0078</t>
  </si>
  <si>
    <t>LN-00098</t>
  </si>
  <si>
    <t>BRW-0079</t>
  </si>
  <si>
    <t>LN-00099</t>
  </si>
  <si>
    <t>BRW-0080</t>
  </si>
  <si>
    <t>LN-00100</t>
  </si>
  <si>
    <t>LN-00101</t>
  </si>
  <si>
    <t>BRW-0081</t>
  </si>
  <si>
    <t>LN-00102</t>
  </si>
  <si>
    <t>BRW-0082</t>
  </si>
  <si>
    <t>WI</t>
  </si>
  <si>
    <t>LN-00103</t>
  </si>
  <si>
    <t>BRW-0083</t>
  </si>
  <si>
    <t>LN-00104</t>
  </si>
  <si>
    <t>BRW-0084</t>
  </si>
  <si>
    <t>LN-00105</t>
  </si>
  <si>
    <t>LN-00106</t>
  </si>
  <si>
    <t>BRW-0085</t>
  </si>
  <si>
    <t>LN-00107</t>
  </si>
  <si>
    <t>BRW-0086</t>
  </si>
  <si>
    <t>LN-00108</t>
  </si>
  <si>
    <t>BRW-0087</t>
  </si>
  <si>
    <t>LN-00109</t>
  </si>
  <si>
    <t>BRW-0088</t>
  </si>
  <si>
    <t>LN-00110</t>
  </si>
  <si>
    <t>BRW-0089</t>
  </si>
  <si>
    <t>LN-00111</t>
  </si>
  <si>
    <t>BRW-0090</t>
  </si>
  <si>
    <t>LN-00112</t>
  </si>
  <si>
    <t>BRW-0091</t>
  </si>
  <si>
    <t>LN-00113</t>
  </si>
  <si>
    <t>BRW-0092</t>
  </si>
  <si>
    <t>LN-00114</t>
  </si>
  <si>
    <t>LN-00115</t>
  </si>
  <si>
    <t>BRW-0093</t>
  </si>
  <si>
    <t>LN-00116</t>
  </si>
  <si>
    <t>BRW-0094</t>
  </si>
  <si>
    <t>LN-00117</t>
  </si>
  <si>
    <t>BRW-0095</t>
  </si>
  <si>
    <t>LN-00118</t>
  </si>
  <si>
    <t>LN-00119</t>
  </si>
  <si>
    <t>BRW-0096</t>
  </si>
  <si>
    <t>LN-00120</t>
  </si>
  <si>
    <t>BRW-0097</t>
  </si>
  <si>
    <t>LN-00121</t>
  </si>
  <si>
    <t>BRW-0098</t>
  </si>
  <si>
    <t>LN-00122</t>
  </si>
  <si>
    <t>BRW-0099</t>
  </si>
  <si>
    <t>LN-00123</t>
  </si>
  <si>
    <t>BRW-0100</t>
  </si>
  <si>
    <t>LN-00124</t>
  </si>
  <si>
    <t>BRW-0101</t>
  </si>
  <si>
    <t>LN-00125</t>
  </si>
  <si>
    <t>BRW-0102</t>
  </si>
  <si>
    <t>LN-00126</t>
  </si>
  <si>
    <t>BRW-0103</t>
  </si>
  <si>
    <t>LN-00127</t>
  </si>
  <si>
    <t>BRW-0104</t>
  </si>
  <si>
    <t>LN-00128</t>
  </si>
  <si>
    <t>LN-00129</t>
  </si>
  <si>
    <t>BRW-0105</t>
  </si>
  <si>
    <t>LN-00130</t>
  </si>
  <si>
    <t>BRW-0106</t>
  </si>
  <si>
    <t>LN-00131</t>
  </si>
  <si>
    <t>BRW-0107</t>
  </si>
  <si>
    <t>LN-00132</t>
  </si>
  <si>
    <t>BRW-0108</t>
  </si>
  <si>
    <t>LN-00133</t>
  </si>
  <si>
    <t>BRW-0109</t>
  </si>
  <si>
    <t>LN-00134</t>
  </si>
  <si>
    <t>BRW-0110</t>
  </si>
  <si>
    <t>LN-00135</t>
  </si>
  <si>
    <t>LN-00136</t>
  </si>
  <si>
    <t>BRW-0111</t>
  </si>
  <si>
    <t>LN-00137</t>
  </si>
  <si>
    <t>BRW-0112</t>
  </si>
  <si>
    <t>LN-00138</t>
  </si>
  <si>
    <t>LN-00139</t>
  </si>
  <si>
    <t>BRW-0113</t>
  </si>
  <si>
    <t>LN-00140</t>
  </si>
  <si>
    <t>BRW-0114</t>
  </si>
  <si>
    <t>LN-00141</t>
  </si>
  <si>
    <t>BRW-0115</t>
  </si>
  <si>
    <t>LN-00142</t>
  </si>
  <si>
    <t>LN-00143</t>
  </si>
  <si>
    <t>BRW-0116</t>
  </si>
  <si>
    <t>LN-00144</t>
  </si>
  <si>
    <t>BRW-0117</t>
  </si>
  <si>
    <t>OK</t>
  </si>
  <si>
    <t>LN-00145</t>
  </si>
  <si>
    <t>BRW-0118</t>
  </si>
  <si>
    <t>LN-00146</t>
  </si>
  <si>
    <t>BRW-0119</t>
  </si>
  <si>
    <t>LN-00147</t>
  </si>
  <si>
    <t>BRW-0120</t>
  </si>
  <si>
    <t>LN-00148</t>
  </si>
  <si>
    <t>BRW-0121</t>
  </si>
  <si>
    <t>LN-00149</t>
  </si>
  <si>
    <t>BRW-0122</t>
  </si>
  <si>
    <t>LN-00150</t>
  </si>
  <si>
    <t>BRW-0123</t>
  </si>
  <si>
    <t>LN-00151</t>
  </si>
  <si>
    <t>BRW-0124</t>
  </si>
  <si>
    <t>LN-00152</t>
  </si>
  <si>
    <t>BRW-0125</t>
  </si>
  <si>
    <t>LN-00153</t>
  </si>
  <si>
    <t>BRW-0126</t>
  </si>
  <si>
    <t>LN-00154</t>
  </si>
  <si>
    <t>BRW-0127</t>
  </si>
  <si>
    <t>LN-00155</t>
  </si>
  <si>
    <t>BRW-0128</t>
  </si>
  <si>
    <t>LN-00156</t>
  </si>
  <si>
    <t>BRW-0129</t>
  </si>
  <si>
    <t>LN-00157</t>
  </si>
  <si>
    <t>BRW-0130</t>
  </si>
  <si>
    <t>LN-00158</t>
  </si>
  <si>
    <t>BRW-0131</t>
  </si>
  <si>
    <t>LN-00159</t>
  </si>
  <si>
    <t>LN-00160</t>
  </si>
  <si>
    <t>BRW-0132</t>
  </si>
  <si>
    <t>LN-00161</t>
  </si>
  <si>
    <t>BRW-0133</t>
  </si>
  <si>
    <t>LN-00162</t>
  </si>
  <si>
    <t>LN-00163</t>
  </si>
  <si>
    <t>BRW-0134</t>
  </si>
  <si>
    <t>LN-00164</t>
  </si>
  <si>
    <t>BRW-0135</t>
  </si>
  <si>
    <t>LN-00165</t>
  </si>
  <si>
    <t>BRW-0136</t>
  </si>
  <si>
    <t>LN-00166</t>
  </si>
  <si>
    <t>LN-00167</t>
  </si>
  <si>
    <t>BRW-0137</t>
  </si>
  <si>
    <t>LN-00168</t>
  </si>
  <si>
    <t>BRW-0138</t>
  </si>
  <si>
    <t>LN-00169</t>
  </si>
  <si>
    <t>LN-00170</t>
  </si>
  <si>
    <t>BRW-0139</t>
  </si>
  <si>
    <t>LN-00171</t>
  </si>
  <si>
    <t>BRW-0140</t>
  </si>
  <si>
    <t>LN-00172</t>
  </si>
  <si>
    <t>BRW-0141</t>
  </si>
  <si>
    <t>MI</t>
  </si>
  <si>
    <t>LN-00173</t>
  </si>
  <si>
    <t>BRW-0142</t>
  </si>
  <si>
    <t>LN-00174</t>
  </si>
  <si>
    <t>LN-00175</t>
  </si>
  <si>
    <t>BRW-0143</t>
  </si>
  <si>
    <t>LN-00176</t>
  </si>
  <si>
    <t>BRW-0144</t>
  </si>
  <si>
    <t>LN-00177</t>
  </si>
  <si>
    <t>BRW-0145</t>
  </si>
  <si>
    <t>LN-00178</t>
  </si>
  <si>
    <t>BRW-0146</t>
  </si>
  <si>
    <t>LN-00179</t>
  </si>
  <si>
    <t>BRW-0147</t>
  </si>
  <si>
    <t>LN-00180</t>
  </si>
  <si>
    <t>BRW-0148</t>
  </si>
  <si>
    <t>LN-00181</t>
  </si>
  <si>
    <t>BRW-0149</t>
  </si>
  <si>
    <t>LN-00182</t>
  </si>
  <si>
    <t>BRW-0150</t>
  </si>
  <si>
    <t>LN-00183</t>
  </si>
  <si>
    <t>BRW-0151</t>
  </si>
  <si>
    <t>LN-00184</t>
  </si>
  <si>
    <t>BRW-0152</t>
  </si>
  <si>
    <t>LN-00185</t>
  </si>
  <si>
    <t>BRW-0153</t>
  </si>
  <si>
    <t>LN-00186</t>
  </si>
  <si>
    <t>BRW-0154</t>
  </si>
  <si>
    <t>LN-00187</t>
  </si>
  <si>
    <t>LN-00188</t>
  </si>
  <si>
    <t>BRW-0155</t>
  </si>
  <si>
    <t>LN-00189</t>
  </si>
  <si>
    <t>LN-00190</t>
  </si>
  <si>
    <t>BRW-0156</t>
  </si>
  <si>
    <t>LN-00191</t>
  </si>
  <si>
    <t>LN-00192</t>
  </si>
  <si>
    <t>BRW-0157</t>
  </si>
  <si>
    <t>LN-00193</t>
  </si>
  <si>
    <t>BRW-0158</t>
  </si>
  <si>
    <t>LN-00194</t>
  </si>
  <si>
    <t>BRW-0159</t>
  </si>
  <si>
    <t>LN-00195</t>
  </si>
  <si>
    <t>LN-00196</t>
  </si>
  <si>
    <t>BRW-0160</t>
  </si>
  <si>
    <t>LN-00197</t>
  </si>
  <si>
    <t>BRW-0161</t>
  </si>
  <si>
    <t>LN-00198</t>
  </si>
  <si>
    <t>BRW-0162</t>
  </si>
  <si>
    <t>LN-00199</t>
  </si>
  <si>
    <t>BRW-0163</t>
  </si>
  <si>
    <t>LN-00200</t>
  </si>
  <si>
    <t>BRW-0164</t>
  </si>
  <si>
    <t>LN-00201</t>
  </si>
  <si>
    <t>BRW-0165</t>
  </si>
  <si>
    <t>LN-00202</t>
  </si>
  <si>
    <t>BRW-0166</t>
  </si>
  <si>
    <t>LN-00203</t>
  </si>
  <si>
    <t>BRW-0167</t>
  </si>
  <si>
    <t>LN-00204</t>
  </si>
  <si>
    <t>BRW-0168</t>
  </si>
  <si>
    <t>LN-00205</t>
  </si>
  <si>
    <t>LN-00206</t>
  </si>
  <si>
    <t>BRW-0169</t>
  </si>
  <si>
    <t>LN-00207</t>
  </si>
  <si>
    <t>BRW-0170</t>
  </si>
  <si>
    <t>LN-00208</t>
  </si>
  <si>
    <t>BRW-0171</t>
  </si>
  <si>
    <t>LN-00209</t>
  </si>
  <si>
    <t>LN-00210</t>
  </si>
  <si>
    <t>BRW-0172</t>
  </si>
  <si>
    <t>LN-00211</t>
  </si>
  <si>
    <t>BRW-0173</t>
  </si>
  <si>
    <t>LN-00212</t>
  </si>
  <si>
    <t>BRW-0174</t>
  </si>
  <si>
    <t>LN-00213</t>
  </si>
  <si>
    <t>BRW-0175</t>
  </si>
  <si>
    <t>LN-00214</t>
  </si>
  <si>
    <t>BRW-0176</t>
  </si>
  <si>
    <t>LN-00215</t>
  </si>
  <si>
    <t>BRW-0177</t>
  </si>
  <si>
    <t>LN-00216</t>
  </si>
  <si>
    <t>BRW-0178</t>
  </si>
  <si>
    <t>LN-00217</t>
  </si>
  <si>
    <t>BRW-0179</t>
  </si>
  <si>
    <t>LN-00218</t>
  </si>
  <si>
    <t>LN-00219</t>
  </si>
  <si>
    <t>BRW-0180</t>
  </si>
  <si>
    <t>LN-00220</t>
  </si>
  <si>
    <t>BRW-0181</t>
  </si>
  <si>
    <t>LN-00221</t>
  </si>
  <si>
    <t>BRW-0182</t>
  </si>
  <si>
    <t>LN-00222</t>
  </si>
  <si>
    <t>LN-00223</t>
  </si>
  <si>
    <t>BRW-0183</t>
  </si>
  <si>
    <t>LN-00224</t>
  </si>
  <si>
    <t>LN-00225</t>
  </si>
  <si>
    <t>BRW-0184</t>
  </si>
  <si>
    <t>LN-00226</t>
  </si>
  <si>
    <t>BRW-0185</t>
  </si>
  <si>
    <t>LN-00227</t>
  </si>
  <si>
    <t>BRW-0186</t>
  </si>
  <si>
    <t>LN-00228</t>
  </si>
  <si>
    <t>BRW-0187</t>
  </si>
  <si>
    <t>LN-00229</t>
  </si>
  <si>
    <t>BRW-0188</t>
  </si>
  <si>
    <t>LN-00230</t>
  </si>
  <si>
    <t>BRW-0189</t>
  </si>
  <si>
    <t>LN-00231</t>
  </si>
  <si>
    <t>BRW-0190</t>
  </si>
  <si>
    <t>LN-00232</t>
  </si>
  <si>
    <t>BRW-0191</t>
  </si>
  <si>
    <t>LN-00233</t>
  </si>
  <si>
    <t>BRW-0192</t>
  </si>
  <si>
    <t>LN-00234</t>
  </si>
  <si>
    <t>BRW-0193</t>
  </si>
  <si>
    <t>LN-00235</t>
  </si>
  <si>
    <t>BRW-0194</t>
  </si>
  <si>
    <t>LN-00236</t>
  </si>
  <si>
    <t>LN-00237</t>
  </si>
  <si>
    <t>BRW-0195</t>
  </si>
  <si>
    <t>LN-00238</t>
  </si>
  <si>
    <t>BRW-0196</t>
  </si>
  <si>
    <t>LN-00239</t>
  </si>
  <si>
    <t>BRW-0197</t>
  </si>
  <si>
    <t>LN-00240</t>
  </si>
  <si>
    <t>BRW-0198</t>
  </si>
  <si>
    <t>LN-00241</t>
  </si>
  <si>
    <t>BRW-0199</t>
  </si>
  <si>
    <t>LN-00242</t>
  </si>
  <si>
    <t>BRW-0200</t>
  </si>
  <si>
    <t>LN-00243</t>
  </si>
  <si>
    <t>BRW-0201</t>
  </si>
  <si>
    <t>LN-00244</t>
  </si>
  <si>
    <t>LN-00245</t>
  </si>
  <si>
    <t>BRW-0202</t>
  </si>
  <si>
    <t>LN-00246</t>
  </si>
  <si>
    <t>BRW-0203</t>
  </si>
  <si>
    <t>LN-00247</t>
  </si>
  <si>
    <t>BRW-0204</t>
  </si>
  <si>
    <t>LN-00248</t>
  </si>
  <si>
    <t>LN-00249</t>
  </si>
  <si>
    <t>BRW-0205</t>
  </si>
  <si>
    <t>LN-00250</t>
  </si>
  <si>
    <t>BRW-0206</t>
  </si>
  <si>
    <t>LN-00251</t>
  </si>
  <si>
    <t>LN-00252</t>
  </si>
  <si>
    <t>BRW-0207</t>
  </si>
  <si>
    <t>LN-00253</t>
  </si>
  <si>
    <t>BRW-0208</t>
  </si>
  <si>
    <t>LN-00254</t>
  </si>
  <si>
    <t>LN-00255</t>
  </si>
  <si>
    <t>BRW-0209</t>
  </si>
  <si>
    <t>LN-00256</t>
  </si>
  <si>
    <t>BRW-0210</t>
  </si>
  <si>
    <t>LN-00257</t>
  </si>
  <si>
    <t>BRW-0211</t>
  </si>
  <si>
    <t>LN-00258</t>
  </si>
  <si>
    <t>BRW-0212</t>
  </si>
  <si>
    <t>LN-00259</t>
  </si>
  <si>
    <t>LN-00260</t>
  </si>
  <si>
    <t>BRW-0213</t>
  </si>
  <si>
    <t>LN-00261</t>
  </si>
  <si>
    <t>BRW-0214</t>
  </si>
  <si>
    <t>LN-00262</t>
  </si>
  <si>
    <t>BRW-0215</t>
  </si>
  <si>
    <t>LN-00263</t>
  </si>
  <si>
    <t>BRW-0216</t>
  </si>
  <si>
    <t>LN-00264</t>
  </si>
  <si>
    <t>BRW-0217</t>
  </si>
  <si>
    <t>LN-00265</t>
  </si>
  <si>
    <t>BRW-0218</t>
  </si>
  <si>
    <t>LN-00266</t>
  </si>
  <si>
    <t>BRW-0219</t>
  </si>
  <si>
    <t>LN-00267</t>
  </si>
  <si>
    <t>BRW-0220</t>
  </si>
  <si>
    <t>LN-00268</t>
  </si>
  <si>
    <t>LN-00269</t>
  </si>
  <si>
    <t>BRW-0221</t>
  </si>
  <si>
    <t>LN-00270</t>
  </si>
  <si>
    <t>BRW-0222</t>
  </si>
  <si>
    <t>LN-00271</t>
  </si>
  <si>
    <t>BRW-0223</t>
  </si>
  <si>
    <t>LN-00272</t>
  </si>
  <si>
    <t>BRW-0224</t>
  </si>
  <si>
    <t>LN-00273</t>
  </si>
  <si>
    <t>BRW-0225</t>
  </si>
  <si>
    <t>LN-00274</t>
  </si>
  <si>
    <t>BRW-0226</t>
  </si>
  <si>
    <t>LN-00275</t>
  </si>
  <si>
    <t>BRW-0227</t>
  </si>
  <si>
    <t>LN-00276</t>
  </si>
  <si>
    <t>BRW-0228</t>
  </si>
  <si>
    <t>LN-00277</t>
  </si>
  <si>
    <t>BRW-0229</t>
  </si>
  <si>
    <t>LN-00278</t>
  </si>
  <si>
    <t>LN-00279</t>
  </si>
  <si>
    <t>BRW-0230</t>
  </si>
  <si>
    <t>LN-00280</t>
  </si>
  <si>
    <t>BRW-0231</t>
  </si>
  <si>
    <t>LN-00281</t>
  </si>
  <si>
    <t>BRW-0232</t>
  </si>
  <si>
    <t>LN-00282</t>
  </si>
  <si>
    <t>BRW-0233</t>
  </si>
  <si>
    <t>LN-00283</t>
  </si>
  <si>
    <t>BRW-0234</t>
  </si>
  <si>
    <t>LN-00284</t>
  </si>
  <si>
    <t>BRW-0235</t>
  </si>
  <si>
    <t>LN-00285</t>
  </si>
  <si>
    <t>BRW-0236</t>
  </si>
  <si>
    <t>LN-00286</t>
  </si>
  <si>
    <t>BRW-0237</t>
  </si>
  <si>
    <t>LN-00287</t>
  </si>
  <si>
    <t>BRW-0238</t>
  </si>
  <si>
    <t>LN-00288</t>
  </si>
  <si>
    <t>BRW-0239</t>
  </si>
  <si>
    <t>LN-00289</t>
  </si>
  <si>
    <t>LN-00290</t>
  </si>
  <si>
    <t>BRW-0240</t>
  </si>
  <si>
    <t>LN-00291</t>
  </si>
  <si>
    <t>LN-00292</t>
  </si>
  <si>
    <t>BRW-0241</t>
  </si>
  <si>
    <t>LN-00293</t>
  </si>
  <si>
    <t>BRW-0242</t>
  </si>
  <si>
    <t>LN-00294</t>
  </si>
  <si>
    <t>BRW-0243</t>
  </si>
  <si>
    <t>LN-00295</t>
  </si>
  <si>
    <t>BRW-0244</t>
  </si>
  <si>
    <t>LN-00296</t>
  </si>
  <si>
    <t>BRW-0245</t>
  </si>
  <si>
    <t>LN-00297</t>
  </si>
  <si>
    <t>BRW-0246</t>
  </si>
  <si>
    <t>LN-00298</t>
  </si>
  <si>
    <t>LN-00299</t>
  </si>
  <si>
    <t>BRW-0247</t>
  </si>
  <si>
    <t>LN-00300</t>
  </si>
  <si>
    <t>BRW-0248</t>
  </si>
  <si>
    <t>LN-00301</t>
  </si>
  <si>
    <t>BRW-0249</t>
  </si>
  <si>
    <t>LN-00302</t>
  </si>
  <si>
    <t>BRW-0250</t>
  </si>
  <si>
    <t>LN-00303</t>
  </si>
  <si>
    <t>BRW-0251</t>
  </si>
  <si>
    <t>LN-00304</t>
  </si>
  <si>
    <t>LN-00305</t>
  </si>
  <si>
    <t>BRW-0252</t>
  </si>
  <si>
    <t>LN-00306</t>
  </si>
  <si>
    <t>BRW-0253</t>
  </si>
  <si>
    <t>LN-00307</t>
  </si>
  <si>
    <t>BRW-0254</t>
  </si>
  <si>
    <t>LN-00308</t>
  </si>
  <si>
    <t>BRW-0255</t>
  </si>
  <si>
    <t>LN-00309</t>
  </si>
  <si>
    <t>BRW-0256</t>
  </si>
  <si>
    <t>LN-00310</t>
  </si>
  <si>
    <t>BRW-0257</t>
  </si>
  <si>
    <t>LN-00311</t>
  </si>
  <si>
    <t>BRW-0258</t>
  </si>
  <si>
    <t>LN-00312</t>
  </si>
  <si>
    <t>LN-00313</t>
  </si>
  <si>
    <t>BRW-0259</t>
  </si>
  <si>
    <t>LN-00314</t>
  </si>
  <si>
    <t>BRW-0260</t>
  </si>
  <si>
    <t>LN-00315</t>
  </si>
  <si>
    <t>BRW-0261</t>
  </si>
  <si>
    <t>LN-00316</t>
  </si>
  <si>
    <t>BRW-0262</t>
  </si>
  <si>
    <t>LN-00317</t>
  </si>
  <si>
    <t>BRW-0263</t>
  </si>
  <si>
    <t>LN-00318</t>
  </si>
  <si>
    <t>LN-00319</t>
  </si>
  <si>
    <t>BRW-0264</t>
  </si>
  <si>
    <t>LN-00320</t>
  </si>
  <si>
    <t>LN-00321</t>
  </si>
  <si>
    <t>BRW-0265</t>
  </si>
  <si>
    <t>LN-00322</t>
  </si>
  <si>
    <t>BRW-0266</t>
  </si>
  <si>
    <t>LN-00323</t>
  </si>
  <si>
    <t>BRW-0267</t>
  </si>
  <si>
    <t>LN-00324</t>
  </si>
  <si>
    <t>LN-00325</t>
  </si>
  <si>
    <t>BRW-0268</t>
  </si>
  <si>
    <t>LN-00326</t>
  </si>
  <si>
    <t>LN-00327</t>
  </si>
  <si>
    <t>BRW-0269</t>
  </si>
  <si>
    <t>LN-00328</t>
  </si>
  <si>
    <t>BRW-0270</t>
  </si>
  <si>
    <t>LN-00329</t>
  </si>
  <si>
    <t>BRW-0271</t>
  </si>
  <si>
    <t>LN-00330</t>
  </si>
  <si>
    <t>BRW-0272</t>
  </si>
  <si>
    <t>LN-00331</t>
  </si>
  <si>
    <t>BRW-0273</t>
  </si>
  <si>
    <t>LN-00332</t>
  </si>
  <si>
    <t>BRW-0274</t>
  </si>
  <si>
    <t>LN-00333</t>
  </si>
  <si>
    <t>BRW-0275</t>
  </si>
  <si>
    <t>LN-00334</t>
  </si>
  <si>
    <t>BRW-0276</t>
  </si>
  <si>
    <t>LN-00335</t>
  </si>
  <si>
    <t>BRW-0277</t>
  </si>
  <si>
    <t>LN-00336</t>
  </si>
  <si>
    <t>BRW-0278</t>
  </si>
  <si>
    <t>LN-00337</t>
  </si>
  <si>
    <t>BRW-0279</t>
  </si>
  <si>
    <t>LN-00338</t>
  </si>
  <si>
    <t>BRW-0280</t>
  </si>
  <si>
    <t>LN-00339</t>
  </si>
  <si>
    <t>BRW-0281</t>
  </si>
  <si>
    <t>LN-00340</t>
  </si>
  <si>
    <t>BRW-0282</t>
  </si>
  <si>
    <t>LN-00341</t>
  </si>
  <si>
    <t>LN-00342</t>
  </si>
  <si>
    <t>BRW-0283</t>
  </si>
  <si>
    <t>LN-00343</t>
  </si>
  <si>
    <t>LN-00344</t>
  </si>
  <si>
    <t>BRW-0284</t>
  </si>
  <si>
    <t>LN-00345</t>
  </si>
  <si>
    <t>BRW-0285</t>
  </si>
  <si>
    <t>LN-00346</t>
  </si>
  <si>
    <t>BRW-0286</t>
  </si>
  <si>
    <t>LN-00347</t>
  </si>
  <si>
    <t>BRW-0287</t>
  </si>
  <si>
    <t>LN-00348</t>
  </si>
  <si>
    <t>BRW-0288</t>
  </si>
  <si>
    <t>LN-00349</t>
  </si>
  <si>
    <t>BRW-0289</t>
  </si>
  <si>
    <t>LN-00350</t>
  </si>
  <si>
    <t>BRW-0290</t>
  </si>
  <si>
    <t>LN-00351</t>
  </si>
  <si>
    <t>BRW-0291</t>
  </si>
  <si>
    <t>LN-00352</t>
  </si>
  <si>
    <t>BRW-0292</t>
  </si>
  <si>
    <t>LN-00353</t>
  </si>
  <si>
    <t>BRW-0293</t>
  </si>
  <si>
    <t>LN-00354</t>
  </si>
  <si>
    <t>LN-00355</t>
  </si>
  <si>
    <t>BRW-0294</t>
  </si>
  <si>
    <t>LN-00356</t>
  </si>
  <si>
    <t>BRW-0295</t>
  </si>
  <si>
    <t>LN-00357</t>
  </si>
  <si>
    <t>BRW-0296</t>
  </si>
  <si>
    <t>LN-00358</t>
  </si>
  <si>
    <t>BRW-0297</t>
  </si>
  <si>
    <t>LN-00359</t>
  </si>
  <si>
    <t>LN-00360</t>
  </si>
  <si>
    <t>BRW-0298</t>
  </si>
  <si>
    <t>LN-00361</t>
  </si>
  <si>
    <t>BRW-0299</t>
  </si>
  <si>
    <t>LN-00362</t>
  </si>
  <si>
    <t>BRW-0300</t>
  </si>
  <si>
    <t>LN-00363</t>
  </si>
  <si>
    <t>LN-00364</t>
  </si>
  <si>
    <t>BRW-0301</t>
  </si>
  <si>
    <t>LN-00365</t>
  </si>
  <si>
    <t>LN-00366</t>
  </si>
  <si>
    <t>BRW-0302</t>
  </si>
  <si>
    <t>LN-00367</t>
  </si>
  <si>
    <t>BRW-0303</t>
  </si>
  <si>
    <t>LN-00368</t>
  </si>
  <si>
    <t>LN-00369</t>
  </si>
  <si>
    <t>BRW-0304</t>
  </si>
  <si>
    <t>LN-00370</t>
  </si>
  <si>
    <t>BRW-0305</t>
  </si>
  <si>
    <t>LN-00371</t>
  </si>
  <si>
    <t>BRW-0306</t>
  </si>
  <si>
    <t>LN-00372</t>
  </si>
  <si>
    <t>BRW-0307</t>
  </si>
  <si>
    <t>LN-00373</t>
  </si>
  <si>
    <t>BRW-0308</t>
  </si>
  <si>
    <t>LN-00374</t>
  </si>
  <si>
    <t>BRW-0309</t>
  </si>
  <si>
    <t>LN-00375</t>
  </si>
  <si>
    <t>BRW-0310</t>
  </si>
  <si>
    <t>LN-00376</t>
  </si>
  <si>
    <t>BRW-0311</t>
  </si>
  <si>
    <t>LN-00377</t>
  </si>
  <si>
    <t>BRW-0312</t>
  </si>
  <si>
    <t>LN-00378</t>
  </si>
  <si>
    <t>BRW-0313</t>
  </si>
  <si>
    <t>LN-00379</t>
  </si>
  <si>
    <t>BRW-0314</t>
  </si>
  <si>
    <t>LN-00380</t>
  </si>
  <si>
    <t>BRW-0315</t>
  </si>
  <si>
    <t>LN-00381</t>
  </si>
  <si>
    <t>BRW-0316</t>
  </si>
  <si>
    <t>LN-00382</t>
  </si>
  <si>
    <t>BRW-0317</t>
  </si>
  <si>
    <t>LN-00383</t>
  </si>
  <si>
    <t>BRW-0318</t>
  </si>
  <si>
    <t>LN-00384</t>
  </si>
  <si>
    <t>BRW-0319</t>
  </si>
  <si>
    <t>LN-00385</t>
  </si>
  <si>
    <t>BRW-0320</t>
  </si>
  <si>
    <t>LN-00386</t>
  </si>
  <si>
    <t>LN-00387</t>
  </si>
  <si>
    <t>BRW-0321</t>
  </si>
  <si>
    <t>LN-00388</t>
  </si>
  <si>
    <t>BRW-0322</t>
  </si>
  <si>
    <t>LN-00389</t>
  </si>
  <si>
    <t>LN-00390</t>
  </si>
  <si>
    <t>BRW-0323</t>
  </si>
  <si>
    <t>LN-00391</t>
  </si>
  <si>
    <t>BRW-0324</t>
  </si>
  <si>
    <t>LN-00392</t>
  </si>
  <si>
    <t>BRW-0325</t>
  </si>
  <si>
    <t>LN-00393</t>
  </si>
  <si>
    <t>BRW-0326</t>
  </si>
  <si>
    <t>LN-00394</t>
  </si>
  <si>
    <t>BRW-0327</t>
  </si>
  <si>
    <t>LN-00395</t>
  </si>
  <si>
    <t>BRW-0328</t>
  </si>
  <si>
    <t>LN-00396</t>
  </si>
  <si>
    <t>LN-00397</t>
  </si>
  <si>
    <t>BRW-0329</t>
  </si>
  <si>
    <t>LN-00398</t>
  </si>
  <si>
    <t>BRW-0330</t>
  </si>
  <si>
    <t>LN-00399</t>
  </si>
  <si>
    <t>BRW-0331</t>
  </si>
  <si>
    <t>LN-00400</t>
  </si>
  <si>
    <t>BRW-0332</t>
  </si>
  <si>
    <t>LN-00401</t>
  </si>
  <si>
    <t>BRW-0333</t>
  </si>
  <si>
    <t>LN-00402</t>
  </si>
  <si>
    <t>BRW-0334</t>
  </si>
  <si>
    <t>LN-00403</t>
  </si>
  <si>
    <t>BRW-0335</t>
  </si>
  <si>
    <t>LN-00404</t>
  </si>
  <si>
    <t>BRW-0336</t>
  </si>
  <si>
    <t>LN-00405</t>
  </si>
  <si>
    <t>BRW-0337</t>
  </si>
  <si>
    <t>LN-00406</t>
  </si>
  <si>
    <t>BRW-0338</t>
  </si>
  <si>
    <t>LN-00407</t>
  </si>
  <si>
    <t>LN-00408</t>
  </si>
  <si>
    <t>BRW-0339</t>
  </si>
  <si>
    <t>LN-00409</t>
  </si>
  <si>
    <t>LN-00410</t>
  </si>
  <si>
    <t>BRW-0340</t>
  </si>
  <si>
    <t>LN-00411</t>
  </si>
  <si>
    <t>BRW-0341</t>
  </si>
  <si>
    <t>LN-00412</t>
  </si>
  <si>
    <t>BRW-0342</t>
  </si>
  <si>
    <t>LN-00413</t>
  </si>
  <si>
    <t>BRW-0343</t>
  </si>
  <si>
    <t>LN-00414</t>
  </si>
  <si>
    <t>BRW-0344</t>
  </si>
  <si>
    <t>LN-00415</t>
  </si>
  <si>
    <t>BRW-0345</t>
  </si>
  <si>
    <t>LN-00416</t>
  </si>
  <si>
    <t>BRW-0346</t>
  </si>
  <si>
    <t>LN-00417</t>
  </si>
  <si>
    <t>LN-00418</t>
  </si>
  <si>
    <t>BRW-0347</t>
  </si>
  <si>
    <t>LN-00419</t>
  </si>
  <si>
    <t>BRW-0348</t>
  </si>
  <si>
    <t>LN-00420</t>
  </si>
  <si>
    <t>BRW-0349</t>
  </si>
  <si>
    <t>LN-00421</t>
  </si>
  <si>
    <t>BRW-0350</t>
  </si>
  <si>
    <t>LN-00422</t>
  </si>
  <si>
    <t>BRW-0351</t>
  </si>
  <si>
    <t>LN-00423</t>
  </si>
  <si>
    <t>LN-00424</t>
  </si>
  <si>
    <t>BRW-0352</t>
  </si>
  <si>
    <t>LN-00425</t>
  </si>
  <si>
    <t>BRW-0353</t>
  </si>
  <si>
    <t>LN-00426</t>
  </si>
  <si>
    <t>BRW-0354</t>
  </si>
  <si>
    <t>LN-00427</t>
  </si>
  <si>
    <t>BRW-0355</t>
  </si>
  <si>
    <t>LN-00428</t>
  </si>
  <si>
    <t>BRW-0356</t>
  </si>
  <si>
    <t>LN-00429</t>
  </si>
  <si>
    <t>BRW-0357</t>
  </si>
  <si>
    <t>LN-00430</t>
  </si>
  <si>
    <t>BRW-0358</t>
  </si>
  <si>
    <t>LN-00431</t>
  </si>
  <si>
    <t>BRW-0359</t>
  </si>
  <si>
    <t>LN-00432</t>
  </si>
  <si>
    <t>BRW-0360</t>
  </si>
  <si>
    <t>LN-00433</t>
  </si>
  <si>
    <t>BRW-0361</t>
  </si>
  <si>
    <t>LN-00434</t>
  </si>
  <si>
    <t>LN-00435</t>
  </si>
  <si>
    <t>BRW-0362</t>
  </si>
  <si>
    <t>LN-00436</t>
  </si>
  <si>
    <t>BRW-0363</t>
  </si>
  <si>
    <t>LN-00437</t>
  </si>
  <si>
    <t>BRW-0364</t>
  </si>
  <si>
    <t>LN-00438</t>
  </si>
  <si>
    <t>BRW-0365</t>
  </si>
  <si>
    <t>LN-00439</t>
  </si>
  <si>
    <t>BRW-0366</t>
  </si>
  <si>
    <t>LN-00440</t>
  </si>
  <si>
    <t>BRW-0367</t>
  </si>
  <si>
    <t>LN-00441</t>
  </si>
  <si>
    <t>BRW-0368</t>
  </si>
  <si>
    <t>LN-00442</t>
  </si>
  <si>
    <t>LN-00443</t>
  </si>
  <si>
    <t>BRW-0369</t>
  </si>
  <si>
    <t>LN-00444</t>
  </si>
  <si>
    <t>BRW-0370</t>
  </si>
  <si>
    <t>LN-00445</t>
  </si>
  <si>
    <t>BRW-0371</t>
  </si>
  <si>
    <t>LN-00446</t>
  </si>
  <si>
    <t>BRW-0372</t>
  </si>
  <si>
    <t>LN-00447</t>
  </si>
  <si>
    <t>BRW-0373</t>
  </si>
  <si>
    <t>LN-00448</t>
  </si>
  <si>
    <t>BRW-0374</t>
  </si>
  <si>
    <t>LN-00449</t>
  </si>
  <si>
    <t>LN-00450</t>
  </si>
  <si>
    <t>BRW-0375</t>
  </si>
  <si>
    <t>LN-00451</t>
  </si>
  <si>
    <t>LN-00452</t>
  </si>
  <si>
    <t>BRW-0376</t>
  </si>
  <si>
    <t>LN-00453</t>
  </si>
  <si>
    <t>LN-00454</t>
  </si>
  <si>
    <t>BRW-0377</t>
  </si>
  <si>
    <t>LN-00455</t>
  </si>
  <si>
    <t>BRW-0378</t>
  </si>
  <si>
    <t>LN-00456</t>
  </si>
  <si>
    <t>BRW-0379</t>
  </si>
  <si>
    <t>LN-00457</t>
  </si>
  <si>
    <t>BRW-0380</t>
  </si>
  <si>
    <t>LN-00458</t>
  </si>
  <si>
    <t>BRW-0381</t>
  </si>
  <si>
    <t>LN-00459</t>
  </si>
  <si>
    <t>BRW-0382</t>
  </si>
  <si>
    <t>LN-00460</t>
  </si>
  <si>
    <t>BRW-0383</t>
  </si>
  <si>
    <t>LN-00461</t>
  </si>
  <si>
    <t>BRW-0384</t>
  </si>
  <si>
    <t>LN-00462</t>
  </si>
  <si>
    <t>BRW-0385</t>
  </si>
  <si>
    <t>LN-00463</t>
  </si>
  <si>
    <t>BRW-0386</t>
  </si>
  <si>
    <t>LN-00464</t>
  </si>
  <si>
    <t>BRW-0387</t>
  </si>
  <si>
    <t>LN-00465</t>
  </si>
  <si>
    <t>BRW-0388</t>
  </si>
  <si>
    <t>LN-00466</t>
  </si>
  <si>
    <t>LN-00467</t>
  </si>
  <si>
    <t>BRW-0389</t>
  </si>
  <si>
    <t>LN-00468</t>
  </si>
  <si>
    <t>BRW-0390</t>
  </si>
  <si>
    <t>LN-00469</t>
  </si>
  <si>
    <t>BRW-0391</t>
  </si>
  <si>
    <t>LN-00470</t>
  </si>
  <si>
    <t>BRW-0392</t>
  </si>
  <si>
    <t>LN-00471</t>
  </si>
  <si>
    <t>BRW-0393</t>
  </si>
  <si>
    <t>LN-00472</t>
  </si>
  <si>
    <t>BRW-0394</t>
  </si>
  <si>
    <t>LN-00473</t>
  </si>
  <si>
    <t>LN-00474</t>
  </si>
  <si>
    <t>BRW-0395</t>
  </si>
  <si>
    <t>LN-00475</t>
  </si>
  <si>
    <t>BRW-0396</t>
  </si>
  <si>
    <t>LN-00476</t>
  </si>
  <si>
    <t>BRW-0397</t>
  </si>
  <si>
    <t>LN-00477</t>
  </si>
  <si>
    <t>BRW-0398</t>
  </si>
  <si>
    <t>LN-00478</t>
  </si>
  <si>
    <t>BRW-0399</t>
  </si>
  <si>
    <t>LN-00479</t>
  </si>
  <si>
    <t>BRW-0400</t>
  </si>
  <si>
    <t>LN-00480</t>
  </si>
  <si>
    <t>LN-00481</t>
  </si>
  <si>
    <t>BRW-0401</t>
  </si>
  <si>
    <t>LN-00482</t>
  </si>
  <si>
    <t>BRW-0402</t>
  </si>
  <si>
    <t>LN-00483</t>
  </si>
  <si>
    <t>BRW-0403</t>
  </si>
  <si>
    <t>LN-00484</t>
  </si>
  <si>
    <t>BRW-0404</t>
  </si>
  <si>
    <t>LN-00485</t>
  </si>
  <si>
    <t>BRW-0405</t>
  </si>
  <si>
    <t>LN-00486</t>
  </si>
  <si>
    <t>BRW-0406</t>
  </si>
  <si>
    <t>LN-00487</t>
  </si>
  <si>
    <t>LN-00488</t>
  </si>
  <si>
    <t>BRW-0407</t>
  </si>
  <si>
    <t>LN-00489</t>
  </si>
  <si>
    <t>BRW-0408</t>
  </si>
  <si>
    <t>LN-00490</t>
  </si>
  <si>
    <t>BRW-0409</t>
  </si>
  <si>
    <t>LN-00491</t>
  </si>
  <si>
    <t>BRW-0410</t>
  </si>
  <si>
    <t>LN-00492</t>
  </si>
  <si>
    <t>BRW-0411</t>
  </si>
  <si>
    <t>LN-00493</t>
  </si>
  <si>
    <t>BRW-0412</t>
  </si>
  <si>
    <t>LN-00494</t>
  </si>
  <si>
    <t>BRW-0413</t>
  </si>
  <si>
    <t>LN-00495</t>
  </si>
  <si>
    <t>BRW-0414</t>
  </si>
  <si>
    <t>LN-00496</t>
  </si>
  <si>
    <t>BRW-0415</t>
  </si>
  <si>
    <t>LN-00497</t>
  </si>
  <si>
    <t>LN-00498</t>
  </si>
  <si>
    <t>BRW-0416</t>
  </si>
  <si>
    <t>LN-00499</t>
  </si>
  <si>
    <t>BRW-0417</t>
  </si>
  <si>
    <t>LN-00500</t>
  </si>
  <si>
    <t>BRW-0418</t>
  </si>
  <si>
    <t>LN-00501</t>
  </si>
  <si>
    <t>BRW-0419</t>
  </si>
  <si>
    <t>LN-00502</t>
  </si>
  <si>
    <t>BRW-0420</t>
  </si>
  <si>
    <t>LN-00503</t>
  </si>
  <si>
    <t>LN-00504</t>
  </si>
  <si>
    <t>BRW-0421</t>
  </si>
  <si>
    <t>LN-00505</t>
  </si>
  <si>
    <t>BRW-0422</t>
  </si>
  <si>
    <t>LN-00506</t>
  </si>
  <si>
    <t>LN-00507</t>
  </si>
  <si>
    <t>BRW-0423</t>
  </si>
  <si>
    <t>LN-00508</t>
  </si>
  <si>
    <t>BRW-0424</t>
  </si>
  <si>
    <t>LN-00509</t>
  </si>
  <si>
    <t>BRW-0425</t>
  </si>
  <si>
    <t>LN-00510</t>
  </si>
  <si>
    <t>BRW-0426</t>
  </si>
  <si>
    <t>LN-00511</t>
  </si>
  <si>
    <t>LN-00512</t>
  </si>
  <si>
    <t>BRW-0427</t>
  </si>
  <si>
    <t>LN-00513</t>
  </si>
  <si>
    <t>BRW-0428</t>
  </si>
  <si>
    <t>LN-00514</t>
  </si>
  <si>
    <t>BRW-0429</t>
  </si>
  <si>
    <t>LN-00515</t>
  </si>
  <si>
    <t>BRW-0430</t>
  </si>
  <si>
    <t>LN-00516</t>
  </si>
  <si>
    <t>BRW-0431</t>
  </si>
  <si>
    <t>LN-00517</t>
  </si>
  <si>
    <t>LN-00518</t>
  </si>
  <si>
    <t>BRW-0432</t>
  </si>
  <si>
    <t>LN-00519</t>
  </si>
  <si>
    <t>BRW-0433</t>
  </si>
  <si>
    <t>LN-00520</t>
  </si>
  <si>
    <t>LN-00521</t>
  </si>
  <si>
    <t>BRW-0434</t>
  </si>
  <si>
    <t>LN-00522</t>
  </si>
  <si>
    <t>BRW-0435</t>
  </si>
  <si>
    <t>LN-00523</t>
  </si>
  <si>
    <t>BRW-0436</t>
  </si>
  <si>
    <t>LN-00524</t>
  </si>
  <si>
    <t>BRW-0437</t>
  </si>
  <si>
    <t>LN-00525</t>
  </si>
  <si>
    <t>BRW-0438</t>
  </si>
  <si>
    <t>LN-00526</t>
  </si>
  <si>
    <t>BRW-0439</t>
  </si>
  <si>
    <t>LN-00527</t>
  </si>
  <si>
    <t>BRW-0440</t>
  </si>
  <si>
    <t>LN-00528</t>
  </si>
  <si>
    <t>BRW-0441</t>
  </si>
  <si>
    <t>LN-00529</t>
  </si>
  <si>
    <t>BRW-0442</t>
  </si>
  <si>
    <t>LN-00530</t>
  </si>
  <si>
    <t>BRW-0443</t>
  </si>
  <si>
    <t>LN-00531</t>
  </si>
  <si>
    <t>BRW-0444</t>
  </si>
  <si>
    <t>LN-00532</t>
  </si>
  <si>
    <t>BRW-0445</t>
  </si>
  <si>
    <t>LN-00533</t>
  </si>
  <si>
    <t>BRW-0446</t>
  </si>
  <si>
    <t>LN-00534</t>
  </si>
  <si>
    <t>LN-00535</t>
  </si>
  <si>
    <t>BRW-0447</t>
  </si>
  <si>
    <t>LN-00536</t>
  </si>
  <si>
    <t>BRW-0448</t>
  </si>
  <si>
    <t>LN-00537</t>
  </si>
  <si>
    <t>BRW-0449</t>
  </si>
  <si>
    <t>LN-00538</t>
  </si>
  <si>
    <t>BRW-0450</t>
  </si>
  <si>
    <t>LN-00539</t>
  </si>
  <si>
    <t>BRW-0451</t>
  </si>
  <si>
    <t>LN-00540</t>
  </si>
  <si>
    <t>BRW-0452</t>
  </si>
  <si>
    <t>LN-00541</t>
  </si>
  <si>
    <t>BRW-0453</t>
  </si>
  <si>
    <t>LN-00542</t>
  </si>
  <si>
    <t>LN-00543</t>
  </si>
  <si>
    <t>BRW-0454</t>
  </si>
  <si>
    <t>LN-00544</t>
  </si>
  <si>
    <t>BRW-0455</t>
  </si>
  <si>
    <t>LN-00545</t>
  </si>
  <si>
    <t>BRW-0456</t>
  </si>
  <si>
    <t>LN-00546</t>
  </si>
  <si>
    <t>LN-00547</t>
  </si>
  <si>
    <t>BRW-0457</t>
  </si>
  <si>
    <t>LN-00548</t>
  </si>
  <si>
    <t>BRW-0458</t>
  </si>
  <si>
    <t>LN-00549</t>
  </si>
  <si>
    <t>BRW-0459</t>
  </si>
  <si>
    <t>LN-00550</t>
  </si>
  <si>
    <t>BRW-0460</t>
  </si>
  <si>
    <t>LN-00551</t>
  </si>
  <si>
    <t>BRW-0461</t>
  </si>
  <si>
    <t>LN-00552</t>
  </si>
  <si>
    <t>BRW-0462</t>
  </si>
  <si>
    <t>LN-00553</t>
  </si>
  <si>
    <t>BRW-0463</t>
  </si>
  <si>
    <t>LN-00554</t>
  </si>
  <si>
    <t>LN-00555</t>
  </si>
  <si>
    <t>BRW-0464</t>
  </si>
  <si>
    <t>LN-00556</t>
  </si>
  <si>
    <t>BRW-0465</t>
  </si>
  <si>
    <t>LN-00557</t>
  </si>
  <si>
    <t>LN-00558</t>
  </si>
  <si>
    <t>BRW-0466</t>
  </si>
  <si>
    <t>LN-00559</t>
  </si>
  <si>
    <t>BRW-0467</t>
  </si>
  <si>
    <t>LN-00560</t>
  </si>
  <si>
    <t>BRW-0468</t>
  </si>
  <si>
    <t>LN-00561</t>
  </si>
  <si>
    <t>LN-00562</t>
  </si>
  <si>
    <t>BRW-0469</t>
  </si>
  <si>
    <t>LN-00563</t>
  </si>
  <si>
    <t>LN-00564</t>
  </si>
  <si>
    <t>BRW-0470</t>
  </si>
  <si>
    <t>LN-00565</t>
  </si>
  <si>
    <t>BRW-0471</t>
  </si>
  <si>
    <t>LN-00566</t>
  </si>
  <si>
    <t>LN-00567</t>
  </si>
  <si>
    <t>BRW-0472</t>
  </si>
  <si>
    <t>LN-00568</t>
  </si>
  <si>
    <t>LN-00569</t>
  </si>
  <si>
    <t>BRW-0473</t>
  </si>
  <si>
    <t>LN-00570</t>
  </si>
  <si>
    <t>BRW-0474</t>
  </si>
  <si>
    <t>LN-00571</t>
  </si>
  <si>
    <t>BRW-0475</t>
  </si>
  <si>
    <t>LN-00572</t>
  </si>
  <si>
    <t>BRW-0476</t>
  </si>
  <si>
    <t>LN-00573</t>
  </si>
  <si>
    <t>BRW-0477</t>
  </si>
  <si>
    <t>LN-00574</t>
  </si>
  <si>
    <t>BRW-0478</t>
  </si>
  <si>
    <t>LN-00575</t>
  </si>
  <si>
    <t>BRW-0479</t>
  </si>
  <si>
    <t>LN-00576</t>
  </si>
  <si>
    <t>BRW-0480</t>
  </si>
  <si>
    <t>LN-00577</t>
  </si>
  <si>
    <t>BRW-0481</t>
  </si>
  <si>
    <t>LN-00578</t>
  </si>
  <si>
    <t>BRW-0482</t>
  </si>
  <si>
    <t>LN-00579</t>
  </si>
  <si>
    <t>BRW-0483</t>
  </si>
  <si>
    <t>LN-00580</t>
  </si>
  <si>
    <t>BRW-0484</t>
  </si>
  <si>
    <t>LN-00581</t>
  </si>
  <si>
    <t>LN-00582</t>
  </si>
  <si>
    <t>BRW-0485</t>
  </si>
  <si>
    <t>LN-00583</t>
  </si>
  <si>
    <t>BRW-0486</t>
  </si>
  <si>
    <t>LN-00584</t>
  </si>
  <si>
    <t>BRW-0487</t>
  </si>
  <si>
    <t>LN-00585</t>
  </si>
  <si>
    <t>LN-00586</t>
  </si>
  <si>
    <t>BRW-0488</t>
  </si>
  <si>
    <t>LN-00587</t>
  </si>
  <si>
    <t>LN-00588</t>
  </si>
  <si>
    <t>BRW-0489</t>
  </si>
  <si>
    <t>LN-00589</t>
  </si>
  <si>
    <t>BRW-0490</t>
  </si>
  <si>
    <t>LN-00590</t>
  </si>
  <si>
    <t>BRW-0491</t>
  </si>
  <si>
    <t>LN-00591</t>
  </si>
  <si>
    <t>BRW-0492</t>
  </si>
  <si>
    <t>LN-00592</t>
  </si>
  <si>
    <t>BRW-0493</t>
  </si>
  <si>
    <t>LN-00593</t>
  </si>
  <si>
    <t>BRW-0494</t>
  </si>
  <si>
    <t>LN-00594</t>
  </si>
  <si>
    <t>BRW-0495</t>
  </si>
  <si>
    <t>LN-00595</t>
  </si>
  <si>
    <t>BRW-0496</t>
  </si>
  <si>
    <t>LN-00596</t>
  </si>
  <si>
    <t>BRW-0497</t>
  </si>
  <si>
    <t>LN-00597</t>
  </si>
  <si>
    <t>LN-00598</t>
  </si>
  <si>
    <t>BRW-0498</t>
  </si>
  <si>
    <t>LN-00599</t>
  </si>
  <si>
    <t>BRW-0499</t>
  </si>
  <si>
    <t>LN-00600</t>
  </si>
  <si>
    <t>BRW-0500</t>
  </si>
  <si>
    <t>LN-00601</t>
  </si>
  <si>
    <t>Years Employed Bucket</t>
  </si>
  <si>
    <t>Credit score Bucket</t>
  </si>
  <si>
    <t>DTI ratio Bucket</t>
  </si>
  <si>
    <t>520-599</t>
  </si>
  <si>
    <t>600-649</t>
  </si>
  <si>
    <t>650-699</t>
  </si>
  <si>
    <t>700-749</t>
  </si>
  <si>
    <t>750+</t>
  </si>
  <si>
    <t>Grand Total</t>
  </si>
  <si>
    <t>Credit Score</t>
  </si>
  <si>
    <t>1.&lt;20%</t>
  </si>
  <si>
    <t>2. 20-35%</t>
  </si>
  <si>
    <t>3. 35-45%</t>
  </si>
  <si>
    <t>4. 45-60%</t>
  </si>
  <si>
    <t>5.&gt;60%</t>
  </si>
  <si>
    <t>DTI Ratio</t>
  </si>
  <si>
    <t>Revenue</t>
  </si>
  <si>
    <t>Net loss</t>
  </si>
  <si>
    <t>Column Labels</t>
  </si>
  <si>
    <t>loan_applications.loan_id</t>
  </si>
  <si>
    <t>loan_applications.borrower_id</t>
  </si>
  <si>
    <t>loan_applications.application_date</t>
  </si>
  <si>
    <t>loan_applications.loan_purpose</t>
  </si>
  <si>
    <t>loan_applications.loan_amount</t>
  </si>
  <si>
    <t>loan_applications.dti_ratio</t>
  </si>
  <si>
    <t>loan_applications.loan_status</t>
  </si>
  <si>
    <t>loan_applications.defaulted</t>
  </si>
  <si>
    <t>Sum of Revenue</t>
  </si>
  <si>
    <t>Sum of Net loss</t>
  </si>
  <si>
    <t>Row Labels</t>
  </si>
  <si>
    <t>Net profit</t>
  </si>
  <si>
    <t>DTI Bracket</t>
  </si>
  <si>
    <t>&lt;2 Years</t>
  </si>
  <si>
    <t>10+ years</t>
  </si>
  <si>
    <t>2-5 Years</t>
  </si>
  <si>
    <t>5-10 Years</t>
  </si>
  <si>
    <t>Loan Purpose</t>
  </si>
  <si>
    <t>Employment Status</t>
  </si>
  <si>
    <t>Dti</t>
  </si>
  <si>
    <t>intrest rate</t>
  </si>
  <si>
    <t>Loan amount</t>
  </si>
  <si>
    <t>income</t>
  </si>
  <si>
    <t>Average of loan_applications.defaulted</t>
  </si>
  <si>
    <t>Average of loan_applications.loan_amount</t>
  </si>
  <si>
    <t>DTI bracket</t>
  </si>
  <si>
    <t>Count of loan_applications.defaulted</t>
  </si>
  <si>
    <t>Total Average of loan_applications.defaulted</t>
  </si>
  <si>
    <t>Total Sum of Net loss</t>
  </si>
  <si>
    <t>Total Sum of Revenue</t>
  </si>
  <si>
    <t>net profit</t>
  </si>
  <si>
    <t>Total count</t>
  </si>
  <si>
    <t>&lt;20%</t>
  </si>
  <si>
    <t>20-25%</t>
  </si>
  <si>
    <t>35-45%</t>
  </si>
  <si>
    <t>45-60%</t>
  </si>
  <si>
    <t>&gt;60%</t>
  </si>
  <si>
    <t>TOTAL</t>
  </si>
  <si>
    <t>DTI RATIO</t>
  </si>
  <si>
    <t>Average of loans defaulted</t>
  </si>
  <si>
    <t>=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</si>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</sst>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26">
    <dxf>
      <numFmt numFmtId="164" formatCode="&quot;$&quot;#,##0"/>
    </dxf>
    <dxf>
      <numFmt numFmtId="164" formatCode="&quot;$&quot;#,##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analysis Project TICA 2.0.xlsx]Credit Score!PivotTable1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Default rate by Credit</a:t>
            </a:r>
            <a:r>
              <a:rPr lang="en-US" b="1" baseline="0">
                <a:solidFill>
                  <a:schemeClr val="bg1"/>
                </a:solidFill>
              </a:rPr>
              <a:t> score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6871522309711288"/>
          <c:y val="3.6016331291921846E-2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'Credit Score'!$A$4:$A$9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'Credit Score'!$B$4:$B$9</c:f>
              <c:numCache>
                <c:formatCode>0.00%</c:formatCode>
                <c:ptCount val="5"/>
                <c:pt idx="0">
                  <c:v>0.49137931034482757</c:v>
                </c:pt>
                <c:pt idx="1">
                  <c:v>0.29032258064516131</c:v>
                </c:pt>
                <c:pt idx="2">
                  <c:v>0.28000000000000003</c:v>
                </c:pt>
                <c:pt idx="3">
                  <c:v>0.16279069767441862</c:v>
                </c:pt>
                <c:pt idx="4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9A-4D2F-AF1F-BE6E687F2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036704"/>
        <c:axId val="1761038144"/>
      </c:barChart>
      <c:catAx>
        <c:axId val="17610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38144"/>
        <c:crosses val="autoZero"/>
        <c:auto val="1"/>
        <c:lblAlgn val="ctr"/>
        <c:lblOffset val="100"/>
        <c:noMultiLvlLbl val="0"/>
      </c:catAx>
      <c:valAx>
        <c:axId val="17610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3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[Risk analysis Project TICA 2.0.xlsx]DTI Ratio!PivotTable2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DTI vs.</a:t>
            </a:r>
            <a:r>
              <a:rPr lang="en-US" baseline="0"/>
              <a:t> default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'DTI Ratio'!$B$3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5"/>
            <c:spPr>
              <a:solidFill>
                <a:schemeClr val="accent5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'DTI Ratio'!$A$4:$A$9</c:f>
              <c:strCache>
                <c:ptCount val="5"/>
                <c:pt idx="0">
                  <c:v>1.&lt;20%</c:v>
                </c:pt>
                <c:pt idx="1">
                  <c:v>2. 20-35%</c:v>
                </c:pt>
                <c:pt idx="2">
                  <c:v>3. 35-45%</c:v>
                </c:pt>
                <c:pt idx="3">
                  <c:v>4. 45-60%</c:v>
                </c:pt>
                <c:pt idx="4">
                  <c:v>5.&gt;60%</c:v>
                </c:pt>
              </c:strCache>
            </c:strRef>
          </c:cat>
          <c:val>
            <c:numRef>
              <c:f>'DTI Ratio'!$B$4:$B$9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0.10526315789473684</c:v>
                </c:pt>
                <c:pt idx="2">
                  <c:v>0.21111111111111111</c:v>
                </c:pt>
                <c:pt idx="3">
                  <c:v>0.27672955974842767</c:v>
                </c:pt>
                <c:pt idx="4">
                  <c:v>0.35672514619883039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E-450F-8E51-CC32AF808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13038031"/>
        <c:axId val="1013038991"/>
      </c:lineChart>
      <c:catAx>
        <c:axId val="101303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8991"/>
        <c:crosses val="autoZero"/>
        <c:auto val="1"/>
        <c:lblAlgn val="ctr"/>
        <c:lblOffset val="100"/>
        <c:noMultiLvlLbl val="0"/>
      </c:catAx>
      <c:valAx>
        <c:axId val="101303899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DTI cutoff for Loan Approval</a:t>
            </a:r>
          </a:p>
        </c:rich>
      </c:tx>
      <c:layout>
        <c:manualLayout>
          <c:xMode val="edge"/>
          <c:yMode val="edge"/>
          <c:x val="0.2368678915135608"/>
          <c:y val="3.2407407407407406E-2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225721784776"/>
          <c:y val="0.21543999708369788"/>
          <c:w val="0.8164188538932633"/>
          <c:h val="0.64624927092446782"/>
        </c:manualLayout>
      </c:layout>
      <c:lineChart>
        <c:grouping val="percentStacked"/>
        <c:varyColors val="0"/>
        <c:ser>
          <c:idx val="0"/>
          <c:order val="0"/>
          <c:tx>
            <c:strRef>
              <c:f>'Dti Threshold'!$B$15</c:f>
              <c:strCache>
                <c:ptCount val="1"/>
                <c:pt idx="0">
                  <c:v>DTI Bracket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'Dti Threshold'!$B$16:$B$20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6-4FBC-ADE3-6EE9ECFF5E37}"/>
            </c:ext>
          </c:extLst>
        </c:ser>
        <c:ser>
          <c:idx val="1"/>
          <c:order val="1"/>
          <c:tx>
            <c:strRef>
              <c:f>'Dti Threshold'!$C$15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'Dti Threshold'!$C$16:$C$20</c:f>
              <c:numCache>
                <c:formatCode>"$"#,##0</c:formatCode>
                <c:ptCount val="5"/>
                <c:pt idx="0">
                  <c:v>91398.920000000013</c:v>
                </c:pt>
                <c:pt idx="1">
                  <c:v>653630.53999999992</c:v>
                </c:pt>
                <c:pt idx="2">
                  <c:v>238095.65000000002</c:v>
                </c:pt>
                <c:pt idx="3">
                  <c:v>48977.319999999832</c:v>
                </c:pt>
                <c:pt idx="4">
                  <c:v>-1150834.3700000001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6-4FBC-ADE3-6EE9ECFF5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381359"/>
        <c:axId val="285381839"/>
      </c:lineChart>
      <c:catAx>
        <c:axId val="2853813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81839"/>
        <c:crosses val="autoZero"/>
        <c:auto val="0"/>
        <c:lblAlgn val="ctr"/>
        <c:lblOffset val="100"/>
        <c:noMultiLvlLbl val="0"/>
      </c:catAx>
      <c:valAx>
        <c:axId val="2853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8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analysis Project TICA 2.0.xlsx]Loan purpose!PivotTable4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Loan Purpose by default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'Loan purpose'!$B$3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'Loan purpose'!$A$4:$A$14</c:f>
              <c:strCache>
                <c:ptCount val="10"/>
                <c:pt idx="0">
                  <c:v>Auto Loan</c:v>
                </c:pt>
                <c:pt idx="1">
                  <c:v>Business Loan</c:v>
                </c:pt>
                <c:pt idx="2">
                  <c:v>Debt Consolidation</c:v>
                </c:pt>
                <c:pt idx="3">
                  <c:v>Education</c:v>
                </c:pt>
                <c:pt idx="4">
                  <c:v>Home Improvement</c:v>
                </c:pt>
                <c:pt idx="5">
                  <c:v>Major Purchase</c:v>
                </c:pt>
                <c:pt idx="6">
                  <c:v>Medical Expenses</c:v>
                </c:pt>
                <c:pt idx="7">
                  <c:v>Moving</c:v>
                </c:pt>
                <c:pt idx="8">
                  <c:v>Vacation</c:v>
                </c:pt>
                <c:pt idx="9">
                  <c:v>Wedding</c:v>
                </c:pt>
              </c:strCache>
            </c:strRef>
          </c:cat>
          <c:val>
            <c:numRef>
              <c:f>'Loan purpose'!$B$4:$B$14</c:f>
              <c:numCache>
                <c:formatCode>0.00%</c:formatCode>
                <c:ptCount val="10"/>
                <c:pt idx="0">
                  <c:v>0.2711864406779661</c:v>
                </c:pt>
                <c:pt idx="1">
                  <c:v>0.2413793103448276</c:v>
                </c:pt>
                <c:pt idx="2">
                  <c:v>0.21568627450980393</c:v>
                </c:pt>
                <c:pt idx="3">
                  <c:v>0.22641509433962265</c:v>
                </c:pt>
                <c:pt idx="4">
                  <c:v>0.2857142857142857</c:v>
                </c:pt>
                <c:pt idx="5">
                  <c:v>0.22058823529411764</c:v>
                </c:pt>
                <c:pt idx="6">
                  <c:v>0.20588235294117646</c:v>
                </c:pt>
                <c:pt idx="7">
                  <c:v>0.21428571428571427</c:v>
                </c:pt>
                <c:pt idx="8">
                  <c:v>0.22580645161290322</c:v>
                </c:pt>
                <c:pt idx="9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2-46A8-A6C1-1B82A7135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5315600"/>
        <c:axId val="885322800"/>
      </c:barChart>
      <c:catAx>
        <c:axId val="88531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22800"/>
        <c:crosses val="autoZero"/>
        <c:auto val="1"/>
        <c:lblAlgn val="ctr"/>
        <c:lblOffset val="100"/>
        <c:noMultiLvlLbl val="0"/>
      </c:catAx>
      <c:valAx>
        <c:axId val="8853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analysis Project TICA 2.0.xlsx]Employment Status!PivotTable6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&lt;2 Years Default</a:t>
            </a:r>
            <a:r>
              <a:rPr lang="en-US" b="1" baseline="0">
                <a:solidFill>
                  <a:schemeClr val="bg1"/>
                </a:solidFill>
              </a:rPr>
              <a:t> </a:t>
            </a:r>
            <a:r>
              <a:rPr lang="en-US" b="1">
                <a:solidFill>
                  <a:schemeClr val="bg1"/>
                </a:solidFill>
              </a:rPr>
              <a:t>Risk by Employment</a:t>
            </a:r>
            <a:r>
              <a:rPr lang="en-US" b="1" baseline="0">
                <a:solidFill>
                  <a:schemeClr val="bg1"/>
                </a:solidFill>
              </a:rPr>
              <a:t> status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'Employment Status'!$B$3:$B$4</c:f>
              <c:strCache>
                <c:ptCount val="1"/>
                <c:pt idx="0">
                  <c:v>&lt;2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E-4D76-85B4-3FE8CEBEA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AE-4D76-85B4-3FE8CEBEA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AE-4D76-85B4-3FE8CEBEAE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AE-4D76-85B4-3FE8CEBEAE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AE-4D76-85B4-3FE8CEBEA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Status'!$B$5:$B$10</c:f>
              <c:numCache>
                <c:formatCode>0.00%</c:formatCode>
                <c:ptCount val="5"/>
                <c:pt idx="0">
                  <c:v>0.1111111111111111</c:v>
                </c:pt>
                <c:pt idx="1">
                  <c:v>0.38095238095238093</c:v>
                </c:pt>
                <c:pt idx="2">
                  <c:v>0.55555555555555558</c:v>
                </c:pt>
                <c:pt idx="3">
                  <c:v>0.3</c:v>
                </c:pt>
                <c:pt idx="4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0-492D-9E26-A2E063E58DFB}"/>
            </c:ext>
          </c:extLst>
        </c:ser>
        <c:ser>
          <c:idx val="1"/>
          <c:order val="1"/>
          <c:tx>
            <c:strRef>
              <c:f>'Employment Status'!$C$3:$C$4</c:f>
              <c:strCache>
                <c:ptCount val="1"/>
                <c:pt idx="0">
                  <c:v>10+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AE-4D76-85B4-3FE8CEBEA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AE-4D76-85B4-3FE8CEBEA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AE-4D76-85B4-3FE8CEBEAE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AE-4D76-85B4-3FE8CEBEAE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AE-4D76-85B4-3FE8CEBEA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Status'!$C$5:$C$10</c:f>
              <c:numCache>
                <c:formatCode>0.00%</c:formatCode>
                <c:ptCount val="5"/>
                <c:pt idx="0">
                  <c:v>0.22222222222222221</c:v>
                </c:pt>
                <c:pt idx="1">
                  <c:v>0.22068965517241379</c:v>
                </c:pt>
                <c:pt idx="2">
                  <c:v>0.26923076923076922</c:v>
                </c:pt>
                <c:pt idx="3">
                  <c:v>0.22222222222222221</c:v>
                </c:pt>
                <c:pt idx="4">
                  <c:v>0.24444444444444444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0-492D-9E26-A2E063E58DFB}"/>
            </c:ext>
          </c:extLst>
        </c:ser>
        <c:ser>
          <c:idx val="2"/>
          <c:order val="2"/>
          <c:tx>
            <c:strRef>
              <c:f>'Employment Status'!$D$3:$D$4</c:f>
              <c:strCache>
                <c:ptCount val="1"/>
                <c:pt idx="0">
                  <c:v>2-5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AE-4D76-85B4-3FE8CEBEA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7AE-4D76-85B4-3FE8CEBEA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7AE-4D76-85B4-3FE8CEBEAE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7AE-4D76-85B4-3FE8CEBEAE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7AE-4D76-85B4-3FE8CEBEA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Status'!$D$5:$D$10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0.15189873417721519</c:v>
                </c:pt>
                <c:pt idx="2">
                  <c:v>0.16666666666666666</c:v>
                </c:pt>
                <c:pt idx="3">
                  <c:v>0.2</c:v>
                </c:pt>
                <c:pt idx="4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0-492D-9E26-A2E063E58DFB}"/>
            </c:ext>
          </c:extLst>
        </c:ser>
        <c:ser>
          <c:idx val="3"/>
          <c:order val="3"/>
          <c:tx>
            <c:strRef>
              <c:f>'Employment Status'!$E$3:$E$4</c:f>
              <c:strCache>
                <c:ptCount val="1"/>
                <c:pt idx="0">
                  <c:v>5-10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7AE-4D76-85B4-3FE8CEBEA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7AE-4D76-85B4-3FE8CEBEA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7AE-4D76-85B4-3FE8CEBEAE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7AE-4D76-85B4-3FE8CEBEAE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7AE-4D76-85B4-3FE8CEBEA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Status'!$E$5:$E$10</c:f>
              <c:numCache>
                <c:formatCode>0.00%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0.25</c:v>
                </c:pt>
                <c:pt idx="3">
                  <c:v>0.25</c:v>
                </c:pt>
                <c:pt idx="4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B0-492D-9E26-A2E063E58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analysis Project TICA 2.0.xlsx]Credit Score!PivotTable1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Default rate by Credit</a:t>
            </a:r>
            <a:r>
              <a:rPr lang="en-US" b="1" baseline="0">
                <a:solidFill>
                  <a:schemeClr val="bg1"/>
                </a:solidFill>
              </a:rPr>
              <a:t> score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6871522309711288"/>
          <c:y val="3.6016331291921846E-2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'Credit Score'!$A$4:$A$9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'Credit Score'!$B$4:$B$9</c:f>
              <c:numCache>
                <c:formatCode>0.00%</c:formatCode>
                <c:ptCount val="5"/>
                <c:pt idx="0">
                  <c:v>0.49137931034482757</c:v>
                </c:pt>
                <c:pt idx="1">
                  <c:v>0.29032258064516131</c:v>
                </c:pt>
                <c:pt idx="2">
                  <c:v>0.28000000000000003</c:v>
                </c:pt>
                <c:pt idx="3">
                  <c:v>0.16279069767441862</c:v>
                </c:pt>
                <c:pt idx="4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C-49BB-AA19-68271312A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036704"/>
        <c:axId val="1761038144"/>
      </c:barChart>
      <c:catAx>
        <c:axId val="17610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38144"/>
        <c:crosses val="autoZero"/>
        <c:auto val="1"/>
        <c:lblAlgn val="ctr"/>
        <c:lblOffset val="100"/>
        <c:noMultiLvlLbl val="0"/>
      </c:catAx>
      <c:valAx>
        <c:axId val="17610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3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[Risk analysis Project TICA 2.0.xlsx]DTI Ratio!PivotTable2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DTI vs.</a:t>
            </a:r>
            <a:r>
              <a:rPr lang="en-US" baseline="0"/>
              <a:t> default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5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'DTI Ratio'!$B$3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5"/>
            <c:spPr>
              <a:solidFill>
                <a:schemeClr val="accent5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'DTI Ratio'!$A$4:$A$9</c:f>
              <c:strCache>
                <c:ptCount val="5"/>
                <c:pt idx="0">
                  <c:v>1.&lt;20%</c:v>
                </c:pt>
                <c:pt idx="1">
                  <c:v>2. 20-35%</c:v>
                </c:pt>
                <c:pt idx="2">
                  <c:v>3. 35-45%</c:v>
                </c:pt>
                <c:pt idx="3">
                  <c:v>4. 45-60%</c:v>
                </c:pt>
                <c:pt idx="4">
                  <c:v>5.&gt;60%</c:v>
                </c:pt>
              </c:strCache>
            </c:strRef>
          </c:cat>
          <c:val>
            <c:numRef>
              <c:f>'DTI Ratio'!$B$4:$B$9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0.10526315789473684</c:v>
                </c:pt>
                <c:pt idx="2">
                  <c:v>0.21111111111111111</c:v>
                </c:pt>
                <c:pt idx="3">
                  <c:v>0.27672955974842767</c:v>
                </c:pt>
                <c:pt idx="4">
                  <c:v>0.35672514619883039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E-49EB-827A-86B8C8013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13038031"/>
        <c:axId val="1013038991"/>
      </c:lineChart>
      <c:catAx>
        <c:axId val="101303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8991"/>
        <c:crosses val="autoZero"/>
        <c:auto val="1"/>
        <c:lblAlgn val="ctr"/>
        <c:lblOffset val="100"/>
        <c:noMultiLvlLbl val="0"/>
      </c:catAx>
      <c:valAx>
        <c:axId val="101303899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DTI cutoff for Loan Approval</a:t>
            </a:r>
          </a:p>
        </c:rich>
      </c:tx>
      <c:layout>
        <c:manualLayout>
          <c:xMode val="edge"/>
          <c:yMode val="edge"/>
          <c:x val="0.2368678915135608"/>
          <c:y val="3.2407407407407406E-2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225721784776"/>
          <c:y val="0.21543999708369788"/>
          <c:w val="0.8164188538932633"/>
          <c:h val="0.64624927092446782"/>
        </c:manualLayout>
      </c:layout>
      <c:lineChart>
        <c:grouping val="percentStacked"/>
        <c:varyColors val="0"/>
        <c:ser>
          <c:idx val="0"/>
          <c:order val="0"/>
          <c:tx>
            <c:strRef>
              <c:f>'Dti Threshold'!$B$15</c:f>
              <c:strCache>
                <c:ptCount val="1"/>
                <c:pt idx="0">
                  <c:v>DTI Bracket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'Dti Threshold'!$B$16:$B$20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2-4E49-8CC4-EB9EE7F13204}"/>
            </c:ext>
          </c:extLst>
        </c:ser>
        <c:ser>
          <c:idx val="1"/>
          <c:order val="1"/>
          <c:tx>
            <c:strRef>
              <c:f>'Dti Threshold'!$C$15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'Dti Threshold'!$C$16:$C$20</c:f>
              <c:numCache>
                <c:formatCode>"$"#,##0</c:formatCode>
                <c:ptCount val="5"/>
                <c:pt idx="0">
                  <c:v>91398.920000000013</c:v>
                </c:pt>
                <c:pt idx="1">
                  <c:v>653630.53999999992</c:v>
                </c:pt>
                <c:pt idx="2">
                  <c:v>238095.65000000002</c:v>
                </c:pt>
                <c:pt idx="3">
                  <c:v>48977.319999999832</c:v>
                </c:pt>
                <c:pt idx="4">
                  <c:v>-1150834.3700000001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2-4E49-8CC4-EB9EE7F13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381359"/>
        <c:axId val="285381839"/>
      </c:lineChart>
      <c:catAx>
        <c:axId val="2853813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81839"/>
        <c:crosses val="autoZero"/>
        <c:auto val="0"/>
        <c:lblAlgn val="ctr"/>
        <c:lblOffset val="100"/>
        <c:noMultiLvlLbl val="0"/>
      </c:catAx>
      <c:valAx>
        <c:axId val="2853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8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[Risk analysis Project TICA 2.0.xlsx]Loan purpose!PivotTable4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Loan Purpose by default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'Loan purpose'!$B$3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'Loan purpose'!$A$4:$A$14</c:f>
              <c:strCache>
                <c:ptCount val="10"/>
                <c:pt idx="0">
                  <c:v>Auto Loan</c:v>
                </c:pt>
                <c:pt idx="1">
                  <c:v>Business Loan</c:v>
                </c:pt>
                <c:pt idx="2">
                  <c:v>Debt Consolidation</c:v>
                </c:pt>
                <c:pt idx="3">
                  <c:v>Education</c:v>
                </c:pt>
                <c:pt idx="4">
                  <c:v>Home Improvement</c:v>
                </c:pt>
                <c:pt idx="5">
                  <c:v>Major Purchase</c:v>
                </c:pt>
                <c:pt idx="6">
                  <c:v>Medical Expenses</c:v>
                </c:pt>
                <c:pt idx="7">
                  <c:v>Moving</c:v>
                </c:pt>
                <c:pt idx="8">
                  <c:v>Vacation</c:v>
                </c:pt>
                <c:pt idx="9">
                  <c:v>Wedding</c:v>
                </c:pt>
              </c:strCache>
            </c:strRef>
          </c:cat>
          <c:val>
            <c:numRef>
              <c:f>'Loan purpose'!$B$4:$B$14</c:f>
              <c:numCache>
                <c:formatCode>0.00%</c:formatCode>
                <c:ptCount val="10"/>
                <c:pt idx="0">
                  <c:v>0.2711864406779661</c:v>
                </c:pt>
                <c:pt idx="1">
                  <c:v>0.2413793103448276</c:v>
                </c:pt>
                <c:pt idx="2">
                  <c:v>0.21568627450980393</c:v>
                </c:pt>
                <c:pt idx="3">
                  <c:v>0.22641509433962265</c:v>
                </c:pt>
                <c:pt idx="4">
                  <c:v>0.2857142857142857</c:v>
                </c:pt>
                <c:pt idx="5">
                  <c:v>0.22058823529411764</c:v>
                </c:pt>
                <c:pt idx="6">
                  <c:v>0.20588235294117646</c:v>
                </c:pt>
                <c:pt idx="7">
                  <c:v>0.21428571428571427</c:v>
                </c:pt>
                <c:pt idx="8">
                  <c:v>0.22580645161290322</c:v>
                </c:pt>
                <c:pt idx="9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0-41AD-8488-F6F0723F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5315600"/>
        <c:axId val="885322800"/>
      </c:barChart>
      <c:catAx>
        <c:axId val="88531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22800"/>
        <c:crosses val="autoZero"/>
        <c:auto val="1"/>
        <c:lblAlgn val="ctr"/>
        <c:lblOffset val="100"/>
        <c:noMultiLvlLbl val="0"/>
      </c:catAx>
      <c:valAx>
        <c:axId val="8853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[Risk analysis Project TICA 2.0.xlsx]Employment Status!PivotTable6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&lt;2 Years Default</a:t>
            </a:r>
            <a:r>
              <a:rPr lang="en-US" b="1" baseline="0">
                <a:solidFill>
                  <a:schemeClr val="bg1"/>
                </a:solidFill>
              </a:rPr>
              <a:t> </a:t>
            </a:r>
            <a:r>
              <a:rPr lang="en-US" b="1">
                <a:solidFill>
                  <a:schemeClr val="bg1"/>
                </a:solidFill>
              </a:rPr>
              <a:t>Risk by Employment</a:t>
            </a:r>
            <a:r>
              <a:rPr lang="en-US" b="1" baseline="0">
                <a:solidFill>
                  <a:schemeClr val="bg1"/>
                </a:solidFill>
              </a:rPr>
              <a:t> status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'Employment Status'!$B$3:$B$4</c:f>
              <c:strCache>
                <c:ptCount val="1"/>
                <c:pt idx="0">
                  <c:v>&lt;2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5A-4470-8FCE-B5635DB96E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470-8FCE-B5635DB96E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5A-4470-8FCE-B5635DB96E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5A-4470-8FCE-B5635DB96E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5A-4470-8FCE-B5635DB96E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Status'!$B$5:$B$10</c:f>
              <c:numCache>
                <c:formatCode>0.00%</c:formatCode>
                <c:ptCount val="5"/>
                <c:pt idx="0">
                  <c:v>0.1111111111111111</c:v>
                </c:pt>
                <c:pt idx="1">
                  <c:v>0.38095238095238093</c:v>
                </c:pt>
                <c:pt idx="2">
                  <c:v>0.55555555555555558</c:v>
                </c:pt>
                <c:pt idx="3">
                  <c:v>0.3</c:v>
                </c:pt>
                <c:pt idx="4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5A-4470-8FCE-B5635DB96ECC}"/>
            </c:ext>
          </c:extLst>
        </c:ser>
        <c:ser>
          <c:idx val="1"/>
          <c:order val="1"/>
          <c:tx>
            <c:strRef>
              <c:f>'Employment Status'!$C$3:$C$4</c:f>
              <c:strCache>
                <c:ptCount val="1"/>
                <c:pt idx="0">
                  <c:v>10+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35A-4470-8FCE-B5635DB96E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35A-4470-8FCE-B5635DB96E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35A-4470-8FCE-B5635DB96E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35A-4470-8FCE-B5635DB96E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35A-4470-8FCE-B5635DB96E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Status'!$C$5:$C$10</c:f>
              <c:numCache>
                <c:formatCode>0.00%</c:formatCode>
                <c:ptCount val="5"/>
                <c:pt idx="0">
                  <c:v>0.22222222222222221</c:v>
                </c:pt>
                <c:pt idx="1">
                  <c:v>0.22068965517241379</c:v>
                </c:pt>
                <c:pt idx="2">
                  <c:v>0.26923076923076922</c:v>
                </c:pt>
                <c:pt idx="3">
                  <c:v>0.22222222222222221</c:v>
                </c:pt>
                <c:pt idx="4">
                  <c:v>0.24444444444444444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35A-4470-8FCE-B5635DB96ECC}"/>
            </c:ext>
          </c:extLst>
        </c:ser>
        <c:ser>
          <c:idx val="2"/>
          <c:order val="2"/>
          <c:tx>
            <c:strRef>
              <c:f>'Employment Status'!$D$3:$D$4</c:f>
              <c:strCache>
                <c:ptCount val="1"/>
                <c:pt idx="0">
                  <c:v>2-5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35A-4470-8FCE-B5635DB96E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35A-4470-8FCE-B5635DB96E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35A-4470-8FCE-B5635DB96E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35A-4470-8FCE-B5635DB96E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35A-4470-8FCE-B5635DB96E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Status'!$D$5:$D$10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0.15189873417721519</c:v>
                </c:pt>
                <c:pt idx="2">
                  <c:v>0.16666666666666666</c:v>
                </c:pt>
                <c:pt idx="3">
                  <c:v>0.2</c:v>
                </c:pt>
                <c:pt idx="4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35A-4470-8FCE-B5635DB96ECC}"/>
            </c:ext>
          </c:extLst>
        </c:ser>
        <c:ser>
          <c:idx val="3"/>
          <c:order val="3"/>
          <c:tx>
            <c:strRef>
              <c:f>'Employment Status'!$E$3:$E$4</c:f>
              <c:strCache>
                <c:ptCount val="1"/>
                <c:pt idx="0">
                  <c:v>5-10 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35A-4470-8FCE-B5635DB96E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35A-4470-8FCE-B5635DB96E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535A-4470-8FCE-B5635DB96E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535A-4470-8FCE-B5635DB96E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535A-4470-8FCE-B5635DB96E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Status'!$A$5:$A$10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  <c:pt idx="3">
                  <c:v>Retired</c:v>
                </c:pt>
                <c:pt idx="4">
                  <c:v>Self-Employed</c:v>
                </c:pt>
              </c:strCache>
            </c:strRef>
          </c:cat>
          <c:val>
            <c:numRef>
              <c:f>'Employment Status'!$E$5:$E$10</c:f>
              <c:numCache>
                <c:formatCode>0.00%</c:formatCode>
                <c:ptCount val="5"/>
                <c:pt idx="0">
                  <c:v>0.33333333333333331</c:v>
                </c:pt>
                <c:pt idx="1">
                  <c:v>0.33333333333333331</c:v>
                </c:pt>
                <c:pt idx="2">
                  <c:v>0.25</c:v>
                </c:pt>
                <c:pt idx="3">
                  <c:v>0.25</c:v>
                </c:pt>
                <c:pt idx="4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35A-4470-8FCE-B5635DB96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</xdr:row>
      <xdr:rowOff>66675</xdr:rowOff>
    </xdr:from>
    <xdr:to>
      <xdr:col>9</xdr:col>
      <xdr:colOff>114300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3F972-02A7-9176-8866-D2D435B7C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1304925</xdr:colOff>
      <xdr:row>1</xdr:row>
      <xdr:rowOff>31750</xdr:rowOff>
    </xdr:from>
    <xdr:to>
      <xdr:col>7</xdr:col>
      <xdr:colOff>561975</xdr:colOff>
      <xdr:row>16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2F9CFE-F1EF-6858-1E4A-6B2F7498C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12</xdr:row>
      <xdr:rowOff>177800</xdr:rowOff>
    </xdr:from>
    <xdr:to>
      <xdr:col>6</xdr:col>
      <xdr:colOff>1473200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0EC4B-A667-CE88-0D10-AAF7FEB21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0</xdr:row>
      <xdr:rowOff>136525</xdr:rowOff>
    </xdr:from>
    <xdr:to>
      <xdr:col>7</xdr:col>
      <xdr:colOff>311150</xdr:colOff>
      <xdr:row>13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42A3EA-336D-6F67-24FD-EFF73FD39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298450</xdr:colOff>
      <xdr:row>12</xdr:row>
      <xdr:rowOff>98425</xdr:rowOff>
    </xdr:from>
    <xdr:to>
      <xdr:col>18</xdr:col>
      <xdr:colOff>101600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5E634-F892-D936-1AA0-2E2B16CD0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50800</xdr:rowOff>
    </xdr:from>
    <xdr:to>
      <xdr:col>18</xdr:col>
      <xdr:colOff>44450</xdr:colOff>
      <xdr:row>7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AC0D68-7435-A32B-8224-73080E4F4854}"/>
            </a:ext>
          </a:extLst>
        </xdr:cNvPr>
        <xdr:cNvSpPr/>
      </xdr:nvSpPr>
      <xdr:spPr>
        <a:xfrm>
          <a:off x="95250" y="234950"/>
          <a:ext cx="10922000" cy="107950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>
              <a:solidFill>
                <a:schemeClr val="bg1"/>
              </a:solidFill>
            </a:rPr>
            <a:t>LOAN</a:t>
          </a:r>
          <a:r>
            <a:rPr lang="en-US" sz="4000" b="1" baseline="0">
              <a:solidFill>
                <a:schemeClr val="bg1"/>
              </a:solidFill>
            </a:rPr>
            <a:t> DEFAULT RISK ANALYSIS</a:t>
          </a:r>
          <a:endParaRPr lang="en-US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361951</xdr:colOff>
      <xdr:row>7</xdr:row>
      <xdr:rowOff>123825</xdr:rowOff>
    </xdr:from>
    <xdr:to>
      <xdr:col>12</xdr:col>
      <xdr:colOff>596901</xdr:colOff>
      <xdr:row>11</xdr:row>
      <xdr:rowOff>139700</xdr:rowOff>
    </xdr:to>
    <xdr:sp macro="" textlink="'Main data'!AA603">
      <xdr:nvSpPr>
        <xdr:cNvPr id="9" name="Rectangle: Rounded Corners 8">
          <a:extLst>
            <a:ext uri="{FF2B5EF4-FFF2-40B4-BE49-F238E27FC236}">
              <a16:creationId xmlns:a16="http://schemas.microsoft.com/office/drawing/2014/main" id="{A66564F4-1BD4-4E59-B2E8-8427072FA861}"/>
            </a:ext>
          </a:extLst>
        </xdr:cNvPr>
        <xdr:cNvSpPr/>
      </xdr:nvSpPr>
      <xdr:spPr>
        <a:xfrm>
          <a:off x="6457951" y="1412875"/>
          <a:ext cx="1454150" cy="752475"/>
        </a:xfrm>
        <a:prstGeom prst="roundRec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Aptos Narrow"/>
            </a:rPr>
            <a:t>LOSS</a:t>
          </a:r>
        </a:p>
        <a:p>
          <a:pPr algn="ctr"/>
          <a:fld id="{58479087-56D9-458C-B8C2-DCC926D41FF9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$3,295,300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31751</xdr:colOff>
      <xdr:row>7</xdr:row>
      <xdr:rowOff>123825</xdr:rowOff>
    </xdr:from>
    <xdr:to>
      <xdr:col>6</xdr:col>
      <xdr:colOff>266701</xdr:colOff>
      <xdr:row>11</xdr:row>
      <xdr:rowOff>139700</xdr:rowOff>
    </xdr:to>
    <xdr:sp macro="" textlink="'Main data'!Y604">
      <xdr:nvSpPr>
        <xdr:cNvPr id="10" name="Rectangle: Rounded Corners 9">
          <a:extLst>
            <a:ext uri="{FF2B5EF4-FFF2-40B4-BE49-F238E27FC236}">
              <a16:creationId xmlns:a16="http://schemas.microsoft.com/office/drawing/2014/main" id="{D5EDBA2B-77B6-4DC2-A26E-1201E0D0C880}"/>
            </a:ext>
          </a:extLst>
        </xdr:cNvPr>
        <xdr:cNvSpPr/>
      </xdr:nvSpPr>
      <xdr:spPr>
        <a:xfrm>
          <a:off x="2470151" y="1412875"/>
          <a:ext cx="1454150" cy="752475"/>
        </a:xfrm>
        <a:prstGeom prst="roundRec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Aptos Narrow"/>
            </a:rPr>
            <a:t> DEFAULT RATE</a:t>
          </a:r>
        </a:p>
        <a:p>
          <a:pPr algn="ctr"/>
          <a:fld id="{93B863E9-435E-468D-99DE-87FECAE681B0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24.29%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25401</xdr:colOff>
      <xdr:row>7</xdr:row>
      <xdr:rowOff>123825</xdr:rowOff>
    </xdr:from>
    <xdr:to>
      <xdr:col>16</xdr:col>
      <xdr:colOff>260351</xdr:colOff>
      <xdr:row>11</xdr:row>
      <xdr:rowOff>139700</xdr:rowOff>
    </xdr:to>
    <xdr:sp macro="" textlink="'Main data'!Z604">
      <xdr:nvSpPr>
        <xdr:cNvPr id="11" name="Rectangle: Rounded Corners 10">
          <a:extLst>
            <a:ext uri="{FF2B5EF4-FFF2-40B4-BE49-F238E27FC236}">
              <a16:creationId xmlns:a16="http://schemas.microsoft.com/office/drawing/2014/main" id="{C5CA7DB8-8C4A-4C11-B56B-B062DF01933B}"/>
            </a:ext>
          </a:extLst>
        </xdr:cNvPr>
        <xdr:cNvSpPr/>
      </xdr:nvSpPr>
      <xdr:spPr>
        <a:xfrm>
          <a:off x="8559801" y="1412875"/>
          <a:ext cx="1454150" cy="752475"/>
        </a:xfrm>
        <a:prstGeom prst="roundRec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Aptos Narrow"/>
            </a:rPr>
            <a:t>NET PROFIT</a:t>
          </a:r>
        </a:p>
        <a:p>
          <a:pPr algn="ctr"/>
          <a:fld id="{C502DEEC-A51F-49BC-99F2-728FA9A373B9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-$118,732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196851</xdr:colOff>
      <xdr:row>7</xdr:row>
      <xdr:rowOff>123825</xdr:rowOff>
    </xdr:from>
    <xdr:to>
      <xdr:col>9</xdr:col>
      <xdr:colOff>431801</xdr:colOff>
      <xdr:row>11</xdr:row>
      <xdr:rowOff>139700</xdr:rowOff>
    </xdr:to>
    <xdr:sp macro="" textlink="'Main data'!Z603">
      <xdr:nvSpPr>
        <xdr:cNvPr id="18" name="Rectangle: Rounded Corners 17">
          <a:extLst>
            <a:ext uri="{FF2B5EF4-FFF2-40B4-BE49-F238E27FC236}">
              <a16:creationId xmlns:a16="http://schemas.microsoft.com/office/drawing/2014/main" id="{1BA9B0D7-85BF-998B-3FEF-386C83E79C6A}"/>
            </a:ext>
          </a:extLst>
        </xdr:cNvPr>
        <xdr:cNvSpPr/>
      </xdr:nvSpPr>
      <xdr:spPr>
        <a:xfrm>
          <a:off x="4464051" y="1412875"/>
          <a:ext cx="1454150" cy="752475"/>
        </a:xfrm>
        <a:prstGeom prst="roundRec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Aptos Narrow"/>
            </a:rPr>
            <a:t>REVENUE</a:t>
          </a:r>
        </a:p>
        <a:p>
          <a:pPr algn="ctr"/>
          <a:fld id="{50BBCE78-4346-46B6-AD67-A49E2397B5D2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$3,176,568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495301</xdr:colOff>
      <xdr:row>7</xdr:row>
      <xdr:rowOff>123825</xdr:rowOff>
    </xdr:from>
    <xdr:to>
      <xdr:col>3</xdr:col>
      <xdr:colOff>120651</xdr:colOff>
      <xdr:row>11</xdr:row>
      <xdr:rowOff>139700</xdr:rowOff>
    </xdr:to>
    <xdr:sp macro="" textlink="'Main data'!Y603">
      <xdr:nvSpPr>
        <xdr:cNvPr id="19" name="Rectangle: Rounded Corners 18">
          <a:extLst>
            <a:ext uri="{FF2B5EF4-FFF2-40B4-BE49-F238E27FC236}">
              <a16:creationId xmlns:a16="http://schemas.microsoft.com/office/drawing/2014/main" id="{D0EBEB50-FFEB-41C1-9F88-4D6F259D0FCB}"/>
            </a:ext>
          </a:extLst>
        </xdr:cNvPr>
        <xdr:cNvSpPr/>
      </xdr:nvSpPr>
      <xdr:spPr>
        <a:xfrm>
          <a:off x="495301" y="1412875"/>
          <a:ext cx="1454150" cy="752475"/>
        </a:xfrm>
        <a:prstGeom prst="roundRect">
          <a:avLst/>
        </a:prstGeom>
        <a:solidFill>
          <a:schemeClr val="accent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Aptos Narrow"/>
            </a:rPr>
            <a:t>TOTAL LOAN</a:t>
          </a:r>
        </a:p>
        <a:p>
          <a:pPr algn="ctr"/>
          <a:fld id="{86D1CFB7-C33E-48E2-84BA-D4DF6FFAA2D9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601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94733</xdr:colOff>
      <xdr:row>12</xdr:row>
      <xdr:rowOff>102479</xdr:rowOff>
    </xdr:from>
    <xdr:to>
      <xdr:col>6</xdr:col>
      <xdr:colOff>263073</xdr:colOff>
      <xdr:row>24</xdr:row>
      <xdr:rowOff>41545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DA28349-E85B-44B6-A829-F82A7D595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163719</xdr:colOff>
      <xdr:row>25</xdr:row>
      <xdr:rowOff>45949</xdr:rowOff>
    </xdr:from>
    <xdr:to>
      <xdr:col>18</xdr:col>
      <xdr:colOff>33421</xdr:colOff>
      <xdr:row>38</xdr:row>
      <xdr:rowOff>44766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F80A48-883D-4B0E-B5B6-ED67B2BC6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362859</xdr:colOff>
      <xdr:row>12</xdr:row>
      <xdr:rowOff>93783</xdr:rowOff>
    </xdr:from>
    <xdr:to>
      <xdr:col>12</xdr:col>
      <xdr:colOff>381000</xdr:colOff>
      <xdr:row>24</xdr:row>
      <xdr:rowOff>50241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F090354-CEE9-4AE8-B9D7-8D84FE28D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104323</xdr:colOff>
      <xdr:row>25</xdr:row>
      <xdr:rowOff>51253</xdr:rowOff>
    </xdr:from>
    <xdr:to>
      <xdr:col>9</xdr:col>
      <xdr:colOff>54432</xdr:colOff>
      <xdr:row>38</xdr:row>
      <xdr:rowOff>39461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D00BDD-E81B-4194-8816-D70D59D3A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455806</xdr:colOff>
      <xdr:row>12</xdr:row>
      <xdr:rowOff>94480</xdr:rowOff>
    </xdr:from>
    <xdr:to>
      <xdr:col>18</xdr:col>
      <xdr:colOff>11141</xdr:colOff>
      <xdr:row>24</xdr:row>
      <xdr:rowOff>49543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7BA1E93-5AC1-4EE8-8A40-55BCC9D6A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7.621753240739" createdVersion="8" refreshedVersion="8" minRefreshableVersion="3" recordCount="601" xr:uid="{3A244A3A-1FAD-4537-843C-7E5F95A5B8E0}">
  <cacheSource type="worksheet">
    <worksheetSource name="Merge1"/>
  </cacheSource>
  <cacheFields count="27">
    <cacheField name="loan_applications.loan_id" numFmtId="0">
      <sharedItems/>
    </cacheField>
    <cacheField name="loan_applications.borrower_id" numFmtId="0">
      <sharedItems/>
    </cacheField>
    <cacheField name="loan_applications.application_date" numFmtId="14">
      <sharedItems containsSemiMixedTypes="0" containsNonDate="0" containsDate="1" containsString="0" minDate="2024-01-02T00:00:00" maxDate="2025-06-30T00:00:00"/>
    </cacheField>
    <cacheField name="age" numFmtId="0">
      <sharedItems containsSemiMixedTypes="0" containsString="0" containsNumber="1" containsInteger="1" minValue="22" maxValue="68"/>
    </cacheField>
    <cacheField name="state" numFmtId="0">
      <sharedItems/>
    </cacheField>
    <cacheField name="education_level" numFmtId="0">
      <sharedItems/>
    </cacheField>
    <cacheField name="employment_status" numFmtId="0">
      <sharedItems count="5">
        <s v="Self-Employed"/>
        <s v="Full-Time"/>
        <s v="Contract"/>
        <s v="Part-Time"/>
        <s v="Retired"/>
      </sharedItems>
    </cacheField>
    <cacheField name="years_employed" numFmtId="0">
      <sharedItems containsSemiMixedTypes="0" containsString="0" containsNumber="1" containsInteger="1" minValue="0" maxValue="35"/>
    </cacheField>
    <cacheField name="annual_income" numFmtId="164">
      <sharedItems containsSemiMixedTypes="0" containsString="0" containsNumber="1" containsInteger="1" minValue="12549" maxValue="157047"/>
    </cacheField>
    <cacheField name="Years Employed Bucket" numFmtId="0">
      <sharedItems count="4">
        <s v="5-10 Years"/>
        <s v="2-5 Years"/>
        <s v="10+ years"/>
        <s v="&lt;2 Years"/>
      </sharedItems>
    </cacheField>
    <cacheField name="credit_score" numFmtId="0">
      <sharedItems containsSemiMixedTypes="0" containsString="0" containsNumber="1" containsInteger="1" minValue="528" maxValue="850"/>
    </cacheField>
    <cacheField name="home_ownership" numFmtId="0">
      <sharedItems/>
    </cacheField>
    <cacheField name="dependents" numFmtId="0">
      <sharedItems containsSemiMixedTypes="0" containsString="0" containsNumber="1" containsInteger="1" minValue="0" maxValue="4"/>
    </cacheField>
    <cacheField name="existing_monthly_debt" numFmtId="0">
      <sharedItems containsSemiMixedTypes="0" containsString="0" containsNumber="1" containsInteger="1" minValue="124" maxValue="6130"/>
    </cacheField>
    <cacheField name="Credit score Bucket" numFmtId="0">
      <sharedItems count="5">
        <s v="520-599"/>
        <s v="600-649"/>
        <s v="700-749"/>
        <s v="750+"/>
        <s v="650-699"/>
      </sharedItems>
    </cacheField>
    <cacheField name="loan_applications.loan_purpose" numFmtId="0">
      <sharedItems count="10">
        <s v="Vacation"/>
        <s v="Major Purchase"/>
        <s v="Moving"/>
        <s v="Auto Loan"/>
        <s v="Education"/>
        <s v="Medical Expenses"/>
        <s v="Home Improvement"/>
        <s v="Business Loan"/>
        <s v="Debt Consolidation"/>
        <s v="Wedding"/>
      </sharedItems>
    </cacheField>
    <cacheField name="loan_applications.loan_amount" numFmtId="164">
      <sharedItems containsSemiMixedTypes="0" containsString="0" containsNumber="1" containsInteger="1" minValue="2000" maxValue="49800" count="341">
        <n v="16100"/>
        <n v="5600"/>
        <n v="44700"/>
        <n v="9200"/>
        <n v="11200"/>
        <n v="28600"/>
        <n v="39200"/>
        <n v="36300"/>
        <n v="39000"/>
        <n v="28400"/>
        <n v="13300"/>
        <n v="2700"/>
        <n v="15700"/>
        <n v="38300"/>
        <n v="28800"/>
        <n v="23700"/>
        <n v="2000"/>
        <n v="34300"/>
        <n v="17500"/>
        <n v="20600"/>
        <n v="23100"/>
        <n v="23300"/>
        <n v="7200"/>
        <n v="13700"/>
        <n v="32400"/>
        <n v="7400"/>
        <n v="13600"/>
        <n v="34200"/>
        <n v="45200"/>
        <n v="46200"/>
        <n v="12400"/>
        <n v="16400"/>
        <n v="27100"/>
        <n v="5400"/>
        <n v="5500"/>
        <n v="46400"/>
        <n v="46500"/>
        <n v="16200"/>
        <n v="4300"/>
        <n v="10500"/>
        <n v="6800"/>
        <n v="28900"/>
        <n v="12800"/>
        <n v="5900"/>
        <n v="15100"/>
        <n v="22600"/>
        <n v="9000"/>
        <n v="11000"/>
        <n v="19200"/>
        <n v="12900"/>
        <n v="3900"/>
        <n v="41600"/>
        <n v="4000"/>
        <n v="14400"/>
        <n v="24300"/>
        <n v="15600"/>
        <n v="7900"/>
        <n v="9700"/>
        <n v="36200"/>
        <n v="14100"/>
        <n v="26200"/>
        <n v="12000"/>
        <n v="37700"/>
        <n v="29000"/>
        <n v="38400"/>
        <n v="20500"/>
        <n v="42700"/>
        <n v="10600"/>
        <n v="5200"/>
        <n v="29500"/>
        <n v="40300"/>
        <n v="4700"/>
        <n v="5800"/>
        <n v="15400"/>
        <n v="47600"/>
        <n v="16300"/>
        <n v="43500"/>
        <n v="25900"/>
        <n v="19800"/>
        <n v="8200"/>
        <n v="44800"/>
        <n v="31800"/>
        <n v="27200"/>
        <n v="15500"/>
        <n v="35700"/>
        <n v="18400"/>
        <n v="4900"/>
        <n v="45400"/>
        <n v="17200"/>
        <n v="31400"/>
        <n v="10800"/>
        <n v="21500"/>
        <n v="9400"/>
        <n v="12500"/>
        <n v="10900"/>
        <n v="29700"/>
        <n v="26700"/>
        <n v="17900"/>
        <n v="36900"/>
        <n v="9100"/>
        <n v="5100"/>
        <n v="18700"/>
        <n v="13400"/>
        <n v="34800"/>
        <n v="48200"/>
        <n v="27000"/>
        <n v="10300"/>
        <n v="42100"/>
        <n v="35200"/>
        <n v="8000"/>
        <n v="39300"/>
        <n v="40800"/>
        <n v="2200"/>
        <n v="43000"/>
        <n v="18500"/>
        <n v="38600"/>
        <n v="12200"/>
        <n v="10200"/>
        <n v="22500"/>
        <n v="6500"/>
        <n v="39600"/>
        <n v="4400"/>
        <n v="17400"/>
        <n v="4200"/>
        <n v="6300"/>
        <n v="25400"/>
        <n v="12600"/>
        <n v="31100"/>
        <n v="11900"/>
        <n v="8400"/>
        <n v="37900"/>
        <n v="30000"/>
        <n v="14900"/>
        <n v="45700"/>
        <n v="25000"/>
        <n v="32900"/>
        <n v="5700"/>
        <n v="48500"/>
        <n v="21200"/>
        <n v="20400"/>
        <n v="13500"/>
        <n v="19900"/>
        <n v="2600"/>
        <n v="21900"/>
        <n v="19300"/>
        <n v="17700"/>
        <n v="24800"/>
        <n v="37200"/>
        <n v="38800"/>
        <n v="35500"/>
        <n v="34400"/>
        <n v="7700"/>
        <n v="24500"/>
        <n v="11600"/>
        <n v="34000"/>
        <n v="40500"/>
        <n v="7000"/>
        <n v="21400"/>
        <n v="28300"/>
        <n v="9300"/>
        <n v="42900"/>
        <n v="8500"/>
        <n v="36800"/>
        <n v="2500"/>
        <n v="45300"/>
        <n v="14800"/>
        <n v="11400"/>
        <n v="10400"/>
        <n v="30700"/>
        <n v="24700"/>
        <n v="14000"/>
        <n v="22700"/>
        <n v="22000"/>
        <n v="10000"/>
        <n v="27600"/>
        <n v="5000"/>
        <n v="2800"/>
        <n v="35600"/>
        <n v="46900"/>
        <n v="15200"/>
        <n v="44400"/>
        <n v="7600"/>
        <n v="13900"/>
        <n v="29800"/>
        <n v="32100"/>
        <n v="49700"/>
        <n v="10100"/>
        <n v="25700"/>
        <n v="20300"/>
        <n v="21300"/>
        <n v="40900"/>
        <n v="33100"/>
        <n v="6900"/>
        <n v="23800"/>
        <n v="18600"/>
        <n v="6200"/>
        <n v="27800"/>
        <n v="39400"/>
        <n v="30600"/>
        <n v="13100"/>
        <n v="20700"/>
        <n v="6100"/>
        <n v="43900"/>
        <n v="8100"/>
        <n v="22300"/>
        <n v="21600"/>
        <n v="26800"/>
        <n v="32800"/>
        <n v="17100"/>
        <n v="32000"/>
        <n v="24100"/>
        <n v="42400"/>
        <n v="37400"/>
        <n v="13200"/>
        <n v="22800"/>
        <n v="14200"/>
        <n v="16600"/>
        <n v="41100"/>
        <n v="16900"/>
        <n v="31000"/>
        <n v="3800"/>
        <n v="12100"/>
        <n v="35900"/>
        <n v="9900"/>
        <n v="30100"/>
        <n v="2400"/>
        <n v="33300"/>
        <n v="23500"/>
        <n v="32700"/>
        <n v="35000"/>
        <n v="49000"/>
        <n v="2100"/>
        <n v="42300"/>
        <n v="34700"/>
        <n v="40100"/>
        <n v="29400"/>
        <n v="25600"/>
        <n v="48000"/>
        <n v="22200"/>
        <n v="44200"/>
        <n v="30500"/>
        <n v="8800"/>
        <n v="28000"/>
        <n v="47700"/>
        <n v="4500"/>
        <n v="36100"/>
        <n v="19700"/>
        <n v="31300"/>
        <n v="33000"/>
        <n v="25800"/>
        <n v="20100"/>
        <n v="26100"/>
        <n v="39700"/>
        <n v="18800"/>
        <n v="19000"/>
        <n v="49500"/>
        <n v="14600"/>
        <n v="12300"/>
        <n v="42200"/>
        <n v="23900"/>
        <n v="8300"/>
        <n v="38100"/>
        <n v="26500"/>
        <n v="21000"/>
        <n v="13000"/>
        <n v="35400"/>
        <n v="20000"/>
        <n v="24900"/>
        <n v="33800"/>
        <n v="11100"/>
        <n v="3400"/>
        <n v="39900"/>
        <n v="33900"/>
        <n v="44600"/>
        <n v="47200"/>
        <n v="17000"/>
        <n v="36400"/>
        <n v="22100"/>
        <n v="9800"/>
        <n v="32200"/>
        <n v="11300"/>
        <n v="18000"/>
        <n v="20800"/>
        <n v="40000"/>
        <n v="49200"/>
        <n v="33200"/>
        <n v="30200"/>
        <n v="26900"/>
        <n v="30800"/>
        <n v="14300"/>
        <n v="49800"/>
        <n v="24000"/>
        <n v="26000"/>
        <n v="31700"/>
        <n v="18100"/>
        <n v="25100"/>
        <n v="17600"/>
        <n v="46800"/>
        <n v="31600"/>
        <n v="3700"/>
        <n v="42800"/>
        <n v="46600"/>
        <n v="17800"/>
        <n v="38700"/>
        <n v="6000"/>
        <n v="45000"/>
        <n v="35100"/>
        <n v="26300"/>
        <n v="21100"/>
        <n v="3600"/>
        <n v="6600"/>
        <n v="18900"/>
        <n v="35300"/>
        <n v="28500"/>
        <n v="2300"/>
        <n v="36000"/>
        <n v="8700"/>
        <n v="7500"/>
        <n v="47100"/>
        <n v="11800"/>
        <n v="42600"/>
        <n v="46300"/>
        <n v="44900"/>
        <n v="47300"/>
        <n v="16700"/>
        <n v="33700"/>
        <n v="40200"/>
        <n v="19600"/>
        <n v="19500"/>
        <n v="24400"/>
        <n v="4600"/>
        <n v="47000"/>
        <n v="7100"/>
        <n v="2900"/>
        <n v="26400"/>
        <n v="37300"/>
        <n v="48300"/>
        <n v="4800"/>
        <n v="34900"/>
        <n v="29100"/>
        <n v="7800"/>
      </sharedItems>
    </cacheField>
    <cacheField name="loan_applications.term_months" numFmtId="0">
      <sharedItems containsSemiMixedTypes="0" containsString="0" containsNumber="1" containsInteger="1" minValue="12" maxValue="60"/>
    </cacheField>
    <cacheField name="loan_applications.interest_rate" numFmtId="0">
      <sharedItems containsSemiMixedTypes="0" containsString="0" containsNumber="1" minValue="5.86" maxValue="15.86"/>
    </cacheField>
    <cacheField name="loan_applications.monthly_payment" numFmtId="0">
      <sharedItems containsSemiMixedTypes="0" containsString="0" containsNumber="1" minValue="44.14" maxValue="4262.6899999999996"/>
    </cacheField>
    <cacheField name="loan_applications.dti_ratio" numFmtId="0">
      <sharedItems containsSemiMixedTypes="0" containsString="0" containsNumber="1" minValue="7.6" maxValue="177.4"/>
    </cacheField>
    <cacheField name="DTI ratio Bucket" numFmtId="0">
      <sharedItems count="5">
        <s v="4. 45-60%"/>
        <s v="3. 35-45%"/>
        <s v="5.&gt;60%"/>
        <s v="1.&lt;20%"/>
        <s v="2. 20-35%"/>
      </sharedItems>
    </cacheField>
    <cacheField name="loan_applications.loan_status" numFmtId="0">
      <sharedItems/>
    </cacheField>
    <cacheField name="loan_applications.days_delinquent" numFmtId="0">
      <sharedItems containsSemiMixedTypes="0" containsString="0" containsNumber="1" containsInteger="1" minValue="0" maxValue="180"/>
    </cacheField>
    <cacheField name="loan_applications.defaulted" numFmtId="0">
      <sharedItems containsSemiMixedTypes="0" containsString="0" containsNumber="1" containsInteger="1" minValue="0" maxValue="1" count="2">
        <n v="0"/>
        <n v="1"/>
      </sharedItems>
    </cacheField>
    <cacheField name="Revenue" numFmtId="164">
      <sharedItems containsSemiMixedTypes="0" containsString="0" containsNumber="1" minValue="0" maxValue="37054"/>
    </cacheField>
    <cacheField name="Net loss" numFmtId="164">
      <sharedItems containsSemiMixedTypes="0" containsString="0" containsNumber="1" containsInteger="1" minValue="0" maxValue="49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LN-00001"/>
    <s v="BRW-0001"/>
    <d v="2024-01-08T00:00:00"/>
    <n v="62"/>
    <s v="CT"/>
    <s v="High School"/>
    <x v="0"/>
    <n v="6"/>
    <n v="31020"/>
    <x v="0"/>
    <n v="596"/>
    <s v="Rent"/>
    <n v="1"/>
    <n v="892"/>
    <x v="0"/>
    <x v="0"/>
    <x v="0"/>
    <n v="36"/>
    <n v="13.05"/>
    <n v="542.86"/>
    <n v="55.5"/>
    <x v="0"/>
    <s v="Paid Off"/>
    <n v="0"/>
    <x v="0"/>
    <n v="6303.1500000000005"/>
    <n v="0"/>
  </r>
  <r>
    <s v="LN-00002"/>
    <s v="BRW-0001"/>
    <d v="2024-08-13T00:00:00"/>
    <n v="62"/>
    <s v="CT"/>
    <s v="High School"/>
    <x v="0"/>
    <n v="6"/>
    <n v="31020"/>
    <x v="0"/>
    <n v="596"/>
    <s v="Rent"/>
    <n v="1"/>
    <n v="892"/>
    <x v="0"/>
    <x v="1"/>
    <x v="1"/>
    <n v="48"/>
    <n v="14.21"/>
    <n v="153.62"/>
    <n v="40.4"/>
    <x v="1"/>
    <s v="Default"/>
    <n v="138"/>
    <x v="1"/>
    <n v="0"/>
    <n v="5600"/>
  </r>
  <r>
    <s v="LN-00003"/>
    <s v="BRW-0002"/>
    <d v="2025-06-28T00:00:00"/>
    <n v="24"/>
    <s v="CO"/>
    <s v="High School"/>
    <x v="1"/>
    <n v="4"/>
    <n v="40188"/>
    <x v="1"/>
    <n v="543"/>
    <s v="Own"/>
    <n v="2"/>
    <n v="869"/>
    <x v="0"/>
    <x v="2"/>
    <x v="2"/>
    <n v="36"/>
    <n v="12.37"/>
    <n v="1492.59"/>
    <n v="70.5"/>
    <x v="2"/>
    <s v="Paid Off"/>
    <n v="0"/>
    <x v="0"/>
    <n v="16588.169999999998"/>
    <n v="0"/>
  </r>
  <r>
    <s v="LN-00004"/>
    <s v="BRW-0003"/>
    <d v="2025-05-18T00:00:00"/>
    <n v="50"/>
    <s v="NC"/>
    <s v="Bachelor"/>
    <x v="2"/>
    <n v="22"/>
    <n v="41014"/>
    <x v="2"/>
    <n v="611"/>
    <s v="Mortgage"/>
    <n v="0"/>
    <n v="1806"/>
    <x v="1"/>
    <x v="3"/>
    <x v="3"/>
    <n v="48"/>
    <n v="11.18"/>
    <n v="238.58"/>
    <n v="59.8"/>
    <x v="0"/>
    <s v="Default"/>
    <n v="34"/>
    <x v="1"/>
    <n v="0"/>
    <n v="9200"/>
  </r>
  <r>
    <s v="LN-00005"/>
    <s v="BRW-0004"/>
    <d v="2025-03-24T00:00:00"/>
    <n v="43"/>
    <s v="TX"/>
    <s v="High School"/>
    <x v="1"/>
    <n v="19"/>
    <n v="35036"/>
    <x v="2"/>
    <n v="701"/>
    <s v="Mortgage"/>
    <n v="2"/>
    <n v="928"/>
    <x v="2"/>
    <x v="2"/>
    <x v="4"/>
    <n v="36"/>
    <n v="9.66"/>
    <n v="359.61"/>
    <n v="44.1"/>
    <x v="1"/>
    <s v="Current"/>
    <n v="0"/>
    <x v="0"/>
    <n v="3245.76"/>
    <n v="0"/>
  </r>
  <r>
    <s v="LN-00006"/>
    <s v="BRW-0005"/>
    <d v="2025-04-19T00:00:00"/>
    <n v="46"/>
    <s v="NY"/>
    <s v="High School"/>
    <x v="1"/>
    <n v="18"/>
    <n v="44528"/>
    <x v="2"/>
    <n v="715"/>
    <s v="Own"/>
    <n v="0"/>
    <n v="608"/>
    <x v="2"/>
    <x v="4"/>
    <x v="5"/>
    <n v="48"/>
    <n v="13.07"/>
    <n v="768.26"/>
    <n v="37.1"/>
    <x v="1"/>
    <s v="Current"/>
    <n v="0"/>
    <x v="0"/>
    <n v="14952.080000000002"/>
    <n v="0"/>
  </r>
  <r>
    <s v="LN-00007"/>
    <s v="BRW-0006"/>
    <d v="2024-07-04T00:00:00"/>
    <n v="40"/>
    <s v="OR"/>
    <s v="Doctorate"/>
    <x v="2"/>
    <n v="8"/>
    <n v="157047"/>
    <x v="0"/>
    <n v="749"/>
    <s v="Mortgage"/>
    <n v="1"/>
    <n v="3076"/>
    <x v="2"/>
    <x v="5"/>
    <x v="6"/>
    <n v="12"/>
    <n v="10.23"/>
    <n v="3450.5"/>
    <n v="49.9"/>
    <x v="0"/>
    <s v="Paid Off"/>
    <n v="0"/>
    <x v="0"/>
    <n v="4010.16"/>
    <n v="0"/>
  </r>
  <r>
    <s v="LN-00008"/>
    <s v="BRW-0007"/>
    <d v="2025-03-29T00:00:00"/>
    <n v="35"/>
    <s v="GA"/>
    <s v="Bachelor"/>
    <x v="0"/>
    <n v="5"/>
    <n v="84210"/>
    <x v="1"/>
    <n v="576"/>
    <s v="Mortgage"/>
    <n v="0"/>
    <n v="1682"/>
    <x v="0"/>
    <x v="6"/>
    <x v="7"/>
    <n v="48"/>
    <n v="14.26"/>
    <n v="996.69"/>
    <n v="38.200000000000003"/>
    <x v="1"/>
    <s v="Default"/>
    <n v="38"/>
    <x v="1"/>
    <n v="0"/>
    <n v="36300"/>
  </r>
  <r>
    <s v="LN-00009"/>
    <s v="BRW-0007"/>
    <d v="2024-08-01T00:00:00"/>
    <n v="35"/>
    <s v="GA"/>
    <s v="Bachelor"/>
    <x v="0"/>
    <n v="5"/>
    <n v="84210"/>
    <x v="1"/>
    <n v="576"/>
    <s v="Mortgage"/>
    <n v="0"/>
    <n v="1682"/>
    <x v="0"/>
    <x v="7"/>
    <x v="8"/>
    <n v="60"/>
    <n v="13.73"/>
    <n v="902.01"/>
    <n v="36.799999999999997"/>
    <x v="1"/>
    <s v="Current"/>
    <n v="0"/>
    <x v="0"/>
    <n v="26773.5"/>
    <n v="0"/>
  </r>
  <r>
    <s v="LN-00010"/>
    <s v="BRW-0008"/>
    <d v="2024-11-01T00:00:00"/>
    <n v="62"/>
    <s v="KY"/>
    <s v="Bachelor"/>
    <x v="1"/>
    <n v="14"/>
    <n v="61289"/>
    <x v="2"/>
    <n v="563"/>
    <s v="Rent"/>
    <n v="1"/>
    <n v="939"/>
    <x v="0"/>
    <x v="8"/>
    <x v="9"/>
    <n v="12"/>
    <n v="11.88"/>
    <n v="2521.71"/>
    <n v="67.8"/>
    <x v="2"/>
    <s v="Default"/>
    <n v="43"/>
    <x v="1"/>
    <n v="0"/>
    <n v="28400"/>
  </r>
  <r>
    <s v="LN-00011"/>
    <s v="BRW-0009"/>
    <d v="2024-06-20T00:00:00"/>
    <n v="35"/>
    <s v="UT"/>
    <s v="Master"/>
    <x v="3"/>
    <n v="15"/>
    <n v="63908"/>
    <x v="2"/>
    <n v="643"/>
    <s v="Mortgage"/>
    <n v="2"/>
    <n v="646"/>
    <x v="1"/>
    <x v="7"/>
    <x v="10"/>
    <n v="48"/>
    <n v="10.91"/>
    <n v="343.16"/>
    <n v="18.600000000000001"/>
    <x v="3"/>
    <s v="Current"/>
    <n v="0"/>
    <x v="0"/>
    <n v="5804.12"/>
    <n v="0"/>
  </r>
  <r>
    <s v="LN-00012"/>
    <s v="BRW-0009"/>
    <d v="2024-06-07T00:00:00"/>
    <n v="35"/>
    <s v="UT"/>
    <s v="Master"/>
    <x v="3"/>
    <n v="15"/>
    <n v="63908"/>
    <x v="2"/>
    <n v="643"/>
    <s v="Mortgage"/>
    <n v="2"/>
    <n v="646"/>
    <x v="1"/>
    <x v="7"/>
    <x v="11"/>
    <n v="48"/>
    <n v="12.73"/>
    <n v="72.069999999999993"/>
    <n v="13.5"/>
    <x v="3"/>
    <s v="Current"/>
    <n v="0"/>
    <x v="0"/>
    <n v="1374.84"/>
    <n v="0"/>
  </r>
  <r>
    <s v="LN-00013"/>
    <s v="BRW-0010"/>
    <d v="2024-06-06T00:00:00"/>
    <n v="30"/>
    <s v="WA"/>
    <s v="Associate"/>
    <x v="3"/>
    <n v="6"/>
    <n v="22845"/>
    <x v="0"/>
    <n v="824"/>
    <s v="Rent"/>
    <n v="1"/>
    <n v="1044"/>
    <x v="3"/>
    <x v="9"/>
    <x v="12"/>
    <n v="12"/>
    <n v="6.57"/>
    <n v="1355.36"/>
    <n v="126"/>
    <x v="2"/>
    <s v="Current"/>
    <n v="0"/>
    <x v="0"/>
    <n v="1031.4900000000002"/>
    <n v="0"/>
  </r>
  <r>
    <s v="LN-00014"/>
    <s v="BRW-0011"/>
    <d v="2024-01-22T00:00:00"/>
    <n v="30"/>
    <s v="KY"/>
    <s v="Bachelor"/>
    <x v="1"/>
    <n v="2"/>
    <n v="43606"/>
    <x v="1"/>
    <n v="586"/>
    <s v="Mortgage"/>
    <n v="2"/>
    <n v="1265"/>
    <x v="0"/>
    <x v="2"/>
    <x v="13"/>
    <n v="48"/>
    <n v="13.9"/>
    <n v="1044.68"/>
    <n v="63.6"/>
    <x v="2"/>
    <s v="Current"/>
    <n v="0"/>
    <x v="0"/>
    <n v="21294.800000000003"/>
    <n v="0"/>
  </r>
  <r>
    <s v="LN-00015"/>
    <s v="BRW-0012"/>
    <d v="2024-07-13T00:00:00"/>
    <n v="46"/>
    <s v="FL"/>
    <s v="Bachelor"/>
    <x v="4"/>
    <n v="0"/>
    <n v="44614"/>
    <x v="3"/>
    <n v="813"/>
    <s v="Rent"/>
    <n v="2"/>
    <n v="1184"/>
    <x v="3"/>
    <x v="0"/>
    <x v="14"/>
    <n v="60"/>
    <n v="9.94"/>
    <n v="611.05999999999995"/>
    <n v="48.3"/>
    <x v="0"/>
    <s v="Current"/>
    <n v="0"/>
    <x v="0"/>
    <n v="14313.599999999999"/>
    <n v="0"/>
  </r>
  <r>
    <s v="LN-00016"/>
    <s v="BRW-0012"/>
    <d v="2025-06-27T00:00:00"/>
    <n v="46"/>
    <s v="FL"/>
    <s v="Bachelor"/>
    <x v="4"/>
    <n v="0"/>
    <n v="44614"/>
    <x v="3"/>
    <n v="813"/>
    <s v="Rent"/>
    <n v="2"/>
    <n v="1184"/>
    <x v="3"/>
    <x v="0"/>
    <x v="15"/>
    <n v="60"/>
    <n v="7.25"/>
    <n v="472.09"/>
    <n v="44.5"/>
    <x v="1"/>
    <s v="Default"/>
    <n v="105"/>
    <x v="1"/>
    <n v="0"/>
    <n v="23700"/>
  </r>
  <r>
    <s v="LN-00017"/>
    <s v="BRW-0013"/>
    <d v="2024-07-08T00:00:00"/>
    <n v="39"/>
    <s v="AL"/>
    <s v="Master"/>
    <x v="1"/>
    <n v="14"/>
    <n v="79782"/>
    <x v="2"/>
    <n v="615"/>
    <s v="Own"/>
    <n v="3"/>
    <n v="1207"/>
    <x v="1"/>
    <x v="2"/>
    <x v="16"/>
    <n v="60"/>
    <n v="11.65"/>
    <n v="44.14"/>
    <n v="18.8"/>
    <x v="3"/>
    <s v="Current"/>
    <n v="0"/>
    <x v="0"/>
    <n v="1165"/>
    <n v="0"/>
  </r>
  <r>
    <s v="LN-00018"/>
    <s v="BRW-0013"/>
    <d v="2024-07-13T00:00:00"/>
    <n v="39"/>
    <s v="AL"/>
    <s v="Master"/>
    <x v="1"/>
    <n v="14"/>
    <n v="79782"/>
    <x v="2"/>
    <n v="615"/>
    <s v="Own"/>
    <n v="3"/>
    <n v="1207"/>
    <x v="1"/>
    <x v="9"/>
    <x v="17"/>
    <n v="60"/>
    <n v="13.85"/>
    <n v="795.44"/>
    <n v="30.1"/>
    <x v="4"/>
    <s v="Current"/>
    <n v="0"/>
    <x v="0"/>
    <n v="23752.749999999996"/>
    <n v="0"/>
  </r>
  <r>
    <s v="LN-00019"/>
    <s v="BRW-0014"/>
    <d v="2024-03-09T00:00:00"/>
    <n v="54"/>
    <s v="IN"/>
    <s v="Master"/>
    <x v="1"/>
    <n v="19"/>
    <n v="63730"/>
    <x v="2"/>
    <n v="850"/>
    <s v="Rent"/>
    <n v="2"/>
    <n v="671"/>
    <x v="3"/>
    <x v="4"/>
    <x v="18"/>
    <n v="12"/>
    <n v="8.4499999999999993"/>
    <n v="1525.94"/>
    <n v="41.4"/>
    <x v="1"/>
    <s v="Default"/>
    <n v="63"/>
    <x v="1"/>
    <n v="0"/>
    <n v="17500"/>
  </r>
  <r>
    <s v="LN-00020"/>
    <s v="BRW-0015"/>
    <d v="2025-02-01T00:00:00"/>
    <n v="32"/>
    <s v="CA"/>
    <s v="Bachelor"/>
    <x v="0"/>
    <n v="9"/>
    <n v="74436"/>
    <x v="0"/>
    <n v="535"/>
    <s v="Mortgage"/>
    <n v="0"/>
    <n v="1435"/>
    <x v="0"/>
    <x v="8"/>
    <x v="19"/>
    <n v="12"/>
    <n v="11.24"/>
    <n v="1822.97"/>
    <n v="52.5"/>
    <x v="0"/>
    <s v="Paid Off"/>
    <n v="0"/>
    <x v="0"/>
    <n v="2315.44"/>
    <n v="0"/>
  </r>
  <r>
    <s v="LN-00021"/>
    <s v="BRW-0016"/>
    <d v="2024-08-01T00:00:00"/>
    <n v="41"/>
    <s v="OR"/>
    <s v="Associate"/>
    <x v="1"/>
    <n v="2"/>
    <n v="55611"/>
    <x v="1"/>
    <n v="570"/>
    <s v="Rent"/>
    <n v="0"/>
    <n v="1994"/>
    <x v="0"/>
    <x v="4"/>
    <x v="20"/>
    <n v="12"/>
    <n v="15.15"/>
    <n v="2086.6"/>
    <n v="88.1"/>
    <x v="2"/>
    <s v="Late"/>
    <n v="15"/>
    <x v="0"/>
    <n v="3499.65"/>
    <n v="0"/>
  </r>
  <r>
    <s v="LN-00022"/>
    <s v="BRW-0017"/>
    <d v="2024-02-29T00:00:00"/>
    <n v="30"/>
    <s v="AZ"/>
    <s v="High School"/>
    <x v="1"/>
    <n v="8"/>
    <n v="41753"/>
    <x v="0"/>
    <n v="665"/>
    <s v="Rent"/>
    <n v="4"/>
    <n v="1790"/>
    <x v="4"/>
    <x v="8"/>
    <x v="21"/>
    <n v="48"/>
    <n v="13.03"/>
    <n v="625.42999999999995"/>
    <n v="69.400000000000006"/>
    <x v="2"/>
    <s v="Current"/>
    <n v="0"/>
    <x v="0"/>
    <n v="12143.96"/>
    <n v="0"/>
  </r>
  <r>
    <s v="LN-00023"/>
    <s v="BRW-0018"/>
    <d v="2024-08-24T00:00:00"/>
    <n v="68"/>
    <s v="MA"/>
    <s v="Bachelor"/>
    <x v="0"/>
    <n v="28"/>
    <n v="66055"/>
    <x v="2"/>
    <n v="726"/>
    <s v="Rent"/>
    <n v="0"/>
    <n v="893"/>
    <x v="2"/>
    <x v="3"/>
    <x v="22"/>
    <n v="60"/>
    <n v="8.39"/>
    <n v="147.34"/>
    <n v="18.899999999999999"/>
    <x v="3"/>
    <s v="Current"/>
    <n v="0"/>
    <x v="0"/>
    <n v="3020.4"/>
    <n v="0"/>
  </r>
  <r>
    <s v="LN-00024"/>
    <s v="BRW-0019"/>
    <d v="2025-01-01T00:00:00"/>
    <n v="43"/>
    <s v="TX"/>
    <s v="High School"/>
    <x v="3"/>
    <n v="2"/>
    <n v="23712"/>
    <x v="1"/>
    <n v="528"/>
    <s v="Rent"/>
    <n v="0"/>
    <n v="993"/>
    <x v="0"/>
    <x v="5"/>
    <x v="23"/>
    <n v="12"/>
    <n v="15.03"/>
    <n v="1236.73"/>
    <n v="112.8"/>
    <x v="2"/>
    <s v="Current"/>
    <n v="0"/>
    <x v="0"/>
    <n v="2059.1099999999997"/>
    <n v="0"/>
  </r>
  <r>
    <s v="LN-00025"/>
    <s v="BRW-0020"/>
    <d v="2025-03-29T00:00:00"/>
    <n v="43"/>
    <s v="UT"/>
    <s v="High School"/>
    <x v="1"/>
    <n v="17"/>
    <n v="45948"/>
    <x v="2"/>
    <n v="639"/>
    <s v="Own"/>
    <n v="3"/>
    <n v="1294"/>
    <x v="1"/>
    <x v="5"/>
    <x v="21"/>
    <n v="24"/>
    <n v="12.02"/>
    <n v="1097.03"/>
    <n v="62.4"/>
    <x v="2"/>
    <s v="Late"/>
    <n v="15"/>
    <x v="0"/>
    <n v="5601.32"/>
    <n v="0"/>
  </r>
  <r>
    <s v="LN-00026"/>
    <s v="BRW-0021"/>
    <d v="2024-08-07T00:00:00"/>
    <n v="37"/>
    <s v="AZ"/>
    <s v="Master"/>
    <x v="2"/>
    <n v="13"/>
    <n v="70937"/>
    <x v="2"/>
    <n v="584"/>
    <s v="Mortgage"/>
    <n v="1"/>
    <n v="2450"/>
    <x v="0"/>
    <x v="4"/>
    <x v="24"/>
    <n v="36"/>
    <n v="13.31"/>
    <n v="1096.53"/>
    <n v="60"/>
    <x v="0"/>
    <s v="Default"/>
    <n v="170"/>
    <x v="1"/>
    <n v="0"/>
    <n v="32400"/>
  </r>
  <r>
    <s v="LN-00027"/>
    <s v="BRW-0021"/>
    <d v="2024-02-05T00:00:00"/>
    <n v="37"/>
    <s v="AZ"/>
    <s v="Master"/>
    <x v="2"/>
    <n v="13"/>
    <n v="70937"/>
    <x v="2"/>
    <n v="584"/>
    <s v="Mortgage"/>
    <n v="1"/>
    <n v="2450"/>
    <x v="0"/>
    <x v="3"/>
    <x v="15"/>
    <n v="48"/>
    <n v="10.27"/>
    <n v="604.16999999999996"/>
    <n v="51.7"/>
    <x v="0"/>
    <s v="Current"/>
    <n v="0"/>
    <x v="0"/>
    <n v="9735.9599999999991"/>
    <n v="0"/>
  </r>
  <r>
    <s v="LN-00028"/>
    <s v="BRW-0022"/>
    <d v="2024-01-23T00:00:00"/>
    <n v="65"/>
    <s v="OH"/>
    <s v="Bachelor"/>
    <x v="3"/>
    <n v="6"/>
    <n v="24456"/>
    <x v="0"/>
    <n v="698"/>
    <s v="Own"/>
    <n v="1"/>
    <n v="244"/>
    <x v="4"/>
    <x v="3"/>
    <x v="25"/>
    <n v="24"/>
    <n v="12.65"/>
    <n v="350.59"/>
    <n v="29.2"/>
    <x v="4"/>
    <s v="Late"/>
    <n v="15"/>
    <x v="0"/>
    <n v="1872.2"/>
    <n v="0"/>
  </r>
  <r>
    <s v="LN-00029"/>
    <s v="BRW-0022"/>
    <d v="2024-02-08T00:00:00"/>
    <n v="65"/>
    <s v="OH"/>
    <s v="Bachelor"/>
    <x v="3"/>
    <n v="6"/>
    <n v="24456"/>
    <x v="0"/>
    <n v="698"/>
    <s v="Own"/>
    <n v="1"/>
    <n v="244"/>
    <x v="4"/>
    <x v="2"/>
    <x v="26"/>
    <n v="60"/>
    <n v="9.14"/>
    <n v="283.24"/>
    <n v="25.9"/>
    <x v="4"/>
    <s v="Current"/>
    <n v="0"/>
    <x v="0"/>
    <n v="6215.2000000000007"/>
    <n v="0"/>
  </r>
  <r>
    <s v="LN-00030"/>
    <s v="BRW-0023"/>
    <d v="2024-08-10T00:00:00"/>
    <n v="33"/>
    <s v="MO"/>
    <s v="Associate"/>
    <x v="1"/>
    <n v="12"/>
    <n v="72054"/>
    <x v="2"/>
    <n v="761"/>
    <s v="Rent"/>
    <n v="0"/>
    <n v="2258"/>
    <x v="3"/>
    <x v="7"/>
    <x v="27"/>
    <n v="12"/>
    <n v="10.17"/>
    <n v="3009.43"/>
    <n v="87.7"/>
    <x v="2"/>
    <s v="Paid Off"/>
    <n v="0"/>
    <x v="0"/>
    <n v="3478.14"/>
    <n v="0"/>
  </r>
  <r>
    <s v="LN-00031"/>
    <s v="BRW-0023"/>
    <d v="2024-04-07T00:00:00"/>
    <n v="33"/>
    <s v="MO"/>
    <s v="Associate"/>
    <x v="1"/>
    <n v="12"/>
    <n v="72054"/>
    <x v="2"/>
    <n v="761"/>
    <s v="Rent"/>
    <n v="0"/>
    <n v="2258"/>
    <x v="3"/>
    <x v="5"/>
    <x v="28"/>
    <n v="60"/>
    <n v="11.41"/>
    <n v="992.02"/>
    <n v="54.1"/>
    <x v="0"/>
    <s v="Paid Off"/>
    <n v="0"/>
    <x v="0"/>
    <n v="25786.600000000002"/>
    <n v="0"/>
  </r>
  <r>
    <s v="LN-00032"/>
    <s v="BRW-0024"/>
    <d v="2025-03-20T00:00:00"/>
    <n v="56"/>
    <s v="TN"/>
    <s v="Master"/>
    <x v="4"/>
    <n v="10"/>
    <n v="80449"/>
    <x v="0"/>
    <n v="661"/>
    <s v="Mortgage"/>
    <n v="0"/>
    <n v="1679"/>
    <x v="4"/>
    <x v="6"/>
    <x v="29"/>
    <n v="36"/>
    <n v="10.72"/>
    <n v="1506.41"/>
    <n v="47.5"/>
    <x v="0"/>
    <s v="Late"/>
    <n v="15"/>
    <x v="0"/>
    <n v="14857.920000000002"/>
    <n v="0"/>
  </r>
  <r>
    <s v="LN-00033"/>
    <s v="BRW-0025"/>
    <d v="2025-06-20T00:00:00"/>
    <n v="25"/>
    <s v="AL"/>
    <s v="High School"/>
    <x v="1"/>
    <n v="2"/>
    <n v="36142"/>
    <x v="1"/>
    <n v="757"/>
    <s v="Mortgage"/>
    <n v="4"/>
    <n v="987"/>
    <x v="3"/>
    <x v="9"/>
    <x v="24"/>
    <n v="48"/>
    <n v="7.65"/>
    <n v="785.67"/>
    <n v="58.9"/>
    <x v="0"/>
    <s v="Default"/>
    <n v="168"/>
    <x v="1"/>
    <n v="0"/>
    <n v="32400"/>
  </r>
  <r>
    <s v="LN-00034"/>
    <s v="BRW-0026"/>
    <d v="2025-02-06T00:00:00"/>
    <n v="67"/>
    <s v="NJ"/>
    <s v="Bachelor"/>
    <x v="1"/>
    <n v="34"/>
    <n v="54489"/>
    <x v="2"/>
    <n v="559"/>
    <s v="Own"/>
    <n v="0"/>
    <n v="1553"/>
    <x v="0"/>
    <x v="4"/>
    <x v="30"/>
    <n v="12"/>
    <n v="14.05"/>
    <n v="1113.6500000000001"/>
    <n v="58.7"/>
    <x v="0"/>
    <s v="Current"/>
    <n v="0"/>
    <x v="0"/>
    <n v="1742.2000000000003"/>
    <n v="0"/>
  </r>
  <r>
    <s v="LN-00035"/>
    <s v="BRW-0027"/>
    <d v="2025-05-02T00:00:00"/>
    <n v="54"/>
    <s v="NY"/>
    <s v="Master"/>
    <x v="1"/>
    <n v="5"/>
    <n v="59480"/>
    <x v="1"/>
    <n v="790"/>
    <s v="Rent"/>
    <n v="2"/>
    <n v="1921"/>
    <x v="3"/>
    <x v="1"/>
    <x v="31"/>
    <n v="24"/>
    <n v="8.51"/>
    <n v="745.55"/>
    <n v="53.8"/>
    <x v="0"/>
    <s v="Current"/>
    <n v="0"/>
    <x v="0"/>
    <n v="2791.2799999999997"/>
    <n v="0"/>
  </r>
  <r>
    <s v="LN-00036"/>
    <s v="BRW-0028"/>
    <d v="2024-07-21T00:00:00"/>
    <n v="37"/>
    <s v="AZ"/>
    <s v="Bachelor"/>
    <x v="4"/>
    <n v="1"/>
    <n v="46167"/>
    <x v="3"/>
    <n v="826"/>
    <s v="Mortgage"/>
    <n v="2"/>
    <n v="1279"/>
    <x v="3"/>
    <x v="2"/>
    <x v="32"/>
    <n v="24"/>
    <n v="8.64"/>
    <n v="1233.5899999999999"/>
    <n v="65.3"/>
    <x v="2"/>
    <s v="Current"/>
    <n v="0"/>
    <x v="0"/>
    <n v="4682.88"/>
    <n v="0"/>
  </r>
  <r>
    <s v="LN-00037"/>
    <s v="BRW-0029"/>
    <d v="2024-04-01T00:00:00"/>
    <n v="42"/>
    <s v="MN"/>
    <s v="Master"/>
    <x v="1"/>
    <n v="8"/>
    <n v="116049"/>
    <x v="0"/>
    <n v="667"/>
    <s v="Mortgage"/>
    <n v="2"/>
    <n v="2694"/>
    <x v="4"/>
    <x v="2"/>
    <x v="33"/>
    <n v="48"/>
    <n v="10.5"/>
    <n v="138.26"/>
    <n v="29.3"/>
    <x v="4"/>
    <s v="Default"/>
    <n v="135"/>
    <x v="1"/>
    <n v="0"/>
    <n v="5400"/>
  </r>
  <r>
    <s v="LN-00038"/>
    <s v="BRW-0030"/>
    <d v="2024-06-22T00:00:00"/>
    <n v="26"/>
    <s v="IN"/>
    <s v="High School"/>
    <x v="3"/>
    <n v="0"/>
    <n v="23219"/>
    <x v="3"/>
    <n v="576"/>
    <s v="Mortgage"/>
    <n v="0"/>
    <n v="999"/>
    <x v="0"/>
    <x v="4"/>
    <x v="34"/>
    <n v="12"/>
    <n v="14.25"/>
    <n v="494.48"/>
    <n v="77.2"/>
    <x v="2"/>
    <s v="Paid Off"/>
    <n v="0"/>
    <x v="0"/>
    <n v="783.74999999999989"/>
    <n v="0"/>
  </r>
  <r>
    <s v="LN-00039"/>
    <s v="BRW-0031"/>
    <d v="2025-01-17T00:00:00"/>
    <n v="26"/>
    <s v="KY"/>
    <s v="Master"/>
    <x v="1"/>
    <n v="5"/>
    <n v="68134"/>
    <x v="1"/>
    <n v="813"/>
    <s v="Mortgage"/>
    <n v="2"/>
    <n v="306"/>
    <x v="3"/>
    <x v="5"/>
    <x v="35"/>
    <n v="24"/>
    <n v="7.45"/>
    <n v="2086.9299999999998"/>
    <n v="42.1"/>
    <x v="1"/>
    <s v="Current"/>
    <n v="0"/>
    <x v="0"/>
    <n v="6913.5999999999995"/>
    <n v="0"/>
  </r>
  <r>
    <s v="LN-00040"/>
    <s v="BRW-0032"/>
    <d v="2024-04-23T00:00:00"/>
    <n v="57"/>
    <s v="FL"/>
    <s v="Associate"/>
    <x v="0"/>
    <n v="16"/>
    <n v="72778"/>
    <x v="2"/>
    <n v="603"/>
    <s v="Own"/>
    <n v="2"/>
    <n v="774"/>
    <x v="1"/>
    <x v="7"/>
    <x v="36"/>
    <n v="36"/>
    <n v="10.02"/>
    <n v="1500.86"/>
    <n v="37.5"/>
    <x v="1"/>
    <s v="Current"/>
    <n v="0"/>
    <x v="0"/>
    <n v="13977.900000000001"/>
    <n v="0"/>
  </r>
  <r>
    <s v="LN-00041"/>
    <s v="BRW-0033"/>
    <d v="2024-05-24T00:00:00"/>
    <n v="40"/>
    <s v="NC"/>
    <s v="Bachelor"/>
    <x v="0"/>
    <n v="8"/>
    <n v="53589"/>
    <x v="0"/>
    <n v="850"/>
    <s v="Mortgage"/>
    <n v="3"/>
    <n v="2112"/>
    <x v="3"/>
    <x v="7"/>
    <x v="37"/>
    <n v="36"/>
    <n v="8.58"/>
    <n v="511.99"/>
    <n v="58.8"/>
    <x v="0"/>
    <s v="Current"/>
    <n v="0"/>
    <x v="0"/>
    <n v="4169.88"/>
    <n v="0"/>
  </r>
  <r>
    <s v="LN-00042"/>
    <s v="BRW-0034"/>
    <d v="2024-10-04T00:00:00"/>
    <n v="27"/>
    <s v="NC"/>
    <s v="Bachelor"/>
    <x v="2"/>
    <n v="2"/>
    <n v="43412"/>
    <x v="1"/>
    <n v="700"/>
    <s v="Mortgage"/>
    <n v="0"/>
    <n v="980"/>
    <x v="2"/>
    <x v="2"/>
    <x v="38"/>
    <n v="36"/>
    <n v="9.34"/>
    <n v="137.41999999999999"/>
    <n v="30.9"/>
    <x v="4"/>
    <s v="Default"/>
    <n v="32"/>
    <x v="1"/>
    <n v="0"/>
    <n v="4300"/>
  </r>
  <r>
    <s v="LN-00043"/>
    <s v="BRW-0034"/>
    <d v="2024-01-20T00:00:00"/>
    <n v="27"/>
    <s v="NC"/>
    <s v="Bachelor"/>
    <x v="2"/>
    <n v="2"/>
    <n v="43412"/>
    <x v="1"/>
    <n v="700"/>
    <s v="Mortgage"/>
    <n v="0"/>
    <n v="980"/>
    <x v="2"/>
    <x v="6"/>
    <x v="39"/>
    <n v="36"/>
    <n v="12.65"/>
    <n v="352.02"/>
    <n v="36.799999999999997"/>
    <x v="1"/>
    <s v="Late"/>
    <n v="15"/>
    <x v="0"/>
    <n v="3984.75"/>
    <n v="0"/>
  </r>
  <r>
    <s v="LN-00044"/>
    <s v="BRW-0035"/>
    <d v="2025-06-28T00:00:00"/>
    <n v="67"/>
    <s v="VA"/>
    <s v="Bachelor"/>
    <x v="1"/>
    <n v="34"/>
    <n v="45400"/>
    <x v="2"/>
    <n v="606"/>
    <s v="Own"/>
    <n v="2"/>
    <n v="469"/>
    <x v="1"/>
    <x v="2"/>
    <x v="40"/>
    <n v="36"/>
    <n v="12.32"/>
    <n v="226.9"/>
    <n v="18.399999999999999"/>
    <x v="3"/>
    <s v="Default"/>
    <n v="80"/>
    <x v="1"/>
    <n v="0"/>
    <n v="6800"/>
  </r>
  <r>
    <s v="LN-00045"/>
    <s v="BRW-0035"/>
    <d v="2025-06-26T00:00:00"/>
    <n v="67"/>
    <s v="VA"/>
    <s v="Bachelor"/>
    <x v="1"/>
    <n v="34"/>
    <n v="45400"/>
    <x v="2"/>
    <n v="606"/>
    <s v="Own"/>
    <n v="2"/>
    <n v="469"/>
    <x v="1"/>
    <x v="2"/>
    <x v="41"/>
    <n v="12"/>
    <n v="10.1"/>
    <n v="2542.11"/>
    <n v="79.599999999999994"/>
    <x v="2"/>
    <s v="Default"/>
    <n v="155"/>
    <x v="1"/>
    <n v="0"/>
    <n v="28900"/>
  </r>
  <r>
    <s v="LN-00046"/>
    <s v="BRW-0036"/>
    <d v="2024-08-29T00:00:00"/>
    <n v="30"/>
    <s v="GA"/>
    <s v="High School"/>
    <x v="1"/>
    <n v="5"/>
    <n v="55244"/>
    <x v="1"/>
    <n v="550"/>
    <s v="Own"/>
    <n v="2"/>
    <n v="1044"/>
    <x v="0"/>
    <x v="5"/>
    <x v="42"/>
    <n v="36"/>
    <n v="13.96"/>
    <n v="437.23"/>
    <n v="32.200000000000003"/>
    <x v="4"/>
    <s v="Late"/>
    <n v="30"/>
    <x v="0"/>
    <n v="5360.64"/>
    <n v="0"/>
  </r>
  <r>
    <s v="LN-00047"/>
    <s v="BRW-0037"/>
    <d v="2024-10-13T00:00:00"/>
    <n v="57"/>
    <s v="KY"/>
    <s v="Master"/>
    <x v="1"/>
    <n v="15"/>
    <n v="107852"/>
    <x v="2"/>
    <n v="624"/>
    <s v="Rent"/>
    <n v="3"/>
    <n v="4410"/>
    <x v="1"/>
    <x v="3"/>
    <x v="2"/>
    <n v="12"/>
    <n v="14.32"/>
    <n v="4020.22"/>
    <n v="93.8"/>
    <x v="2"/>
    <s v="Default"/>
    <n v="117"/>
    <x v="1"/>
    <n v="0"/>
    <n v="44700"/>
  </r>
  <r>
    <s v="LN-00048"/>
    <s v="BRW-0038"/>
    <d v="2024-08-20T00:00:00"/>
    <n v="23"/>
    <s v="KY"/>
    <s v="High School"/>
    <x v="4"/>
    <n v="1"/>
    <n v="29964"/>
    <x v="3"/>
    <n v="735"/>
    <s v="Mortgage"/>
    <n v="2"/>
    <n v="602"/>
    <x v="2"/>
    <x v="5"/>
    <x v="43"/>
    <n v="60"/>
    <n v="12.11"/>
    <n v="131.57"/>
    <n v="29.4"/>
    <x v="4"/>
    <s v="Current"/>
    <n v="0"/>
    <x v="0"/>
    <n v="3572.45"/>
    <n v="0"/>
  </r>
  <r>
    <s v="LN-00049"/>
    <s v="BRW-0038"/>
    <d v="2024-05-21T00:00:00"/>
    <n v="23"/>
    <s v="KY"/>
    <s v="High School"/>
    <x v="4"/>
    <n v="1"/>
    <n v="29964"/>
    <x v="3"/>
    <n v="735"/>
    <s v="Mortgage"/>
    <n v="2"/>
    <n v="602"/>
    <x v="2"/>
    <x v="3"/>
    <x v="44"/>
    <n v="60"/>
    <n v="8.41"/>
    <n v="309.14999999999998"/>
    <n v="36.5"/>
    <x v="1"/>
    <s v="Current"/>
    <n v="0"/>
    <x v="0"/>
    <n v="6349.55"/>
    <n v="0"/>
  </r>
  <r>
    <s v="LN-00050"/>
    <s v="BRW-0039"/>
    <d v="2024-06-10T00:00:00"/>
    <n v="24"/>
    <s v="KY"/>
    <s v="Master"/>
    <x v="1"/>
    <n v="2"/>
    <n v="124663"/>
    <x v="1"/>
    <n v="785"/>
    <s v="Mortgage"/>
    <n v="3"/>
    <n v="1677"/>
    <x v="3"/>
    <x v="2"/>
    <x v="45"/>
    <n v="24"/>
    <n v="10.199999999999999"/>
    <n v="1044.96"/>
    <n v="26.2"/>
    <x v="4"/>
    <s v="Paid Off"/>
    <n v="0"/>
    <x v="0"/>
    <n v="4610.3999999999996"/>
    <n v="0"/>
  </r>
  <r>
    <s v="LN-00051"/>
    <s v="BRW-0040"/>
    <d v="2025-02-27T00:00:00"/>
    <n v="64"/>
    <s v="WA"/>
    <s v="High School"/>
    <x v="1"/>
    <n v="22"/>
    <n v="52825"/>
    <x v="2"/>
    <n v="672"/>
    <s v="Mortgage"/>
    <n v="2"/>
    <n v="2077"/>
    <x v="4"/>
    <x v="4"/>
    <x v="46"/>
    <n v="12"/>
    <n v="12.63"/>
    <n v="802.29"/>
    <n v="65.400000000000006"/>
    <x v="2"/>
    <s v="Paid Off"/>
    <n v="0"/>
    <x v="0"/>
    <n v="1136.7"/>
    <n v="0"/>
  </r>
  <r>
    <s v="LN-00052"/>
    <s v="BRW-0041"/>
    <d v="2024-09-30T00:00:00"/>
    <n v="43"/>
    <s v="NC"/>
    <s v="Master"/>
    <x v="1"/>
    <n v="18"/>
    <n v="137860"/>
    <x v="2"/>
    <n v="641"/>
    <s v="Rent"/>
    <n v="0"/>
    <n v="4001"/>
    <x v="1"/>
    <x v="3"/>
    <x v="47"/>
    <n v="24"/>
    <n v="10.24"/>
    <n v="508.81"/>
    <n v="39.299999999999997"/>
    <x v="1"/>
    <s v="Current"/>
    <n v="0"/>
    <x v="0"/>
    <n v="2252.8000000000002"/>
    <n v="0"/>
  </r>
  <r>
    <s v="LN-00053"/>
    <s v="BRW-0041"/>
    <d v="2025-04-25T00:00:00"/>
    <n v="43"/>
    <s v="NC"/>
    <s v="Master"/>
    <x v="1"/>
    <n v="18"/>
    <n v="137860"/>
    <x v="2"/>
    <n v="641"/>
    <s v="Rent"/>
    <n v="0"/>
    <n v="4001"/>
    <x v="1"/>
    <x v="7"/>
    <x v="48"/>
    <n v="48"/>
    <n v="9.99"/>
    <n v="486.87"/>
    <n v="39.1"/>
    <x v="1"/>
    <s v="Paid Off"/>
    <n v="0"/>
    <x v="0"/>
    <n v="7672.3200000000006"/>
    <n v="0"/>
  </r>
  <r>
    <s v="LN-00054"/>
    <s v="BRW-0042"/>
    <d v="2024-01-16T00:00:00"/>
    <n v="44"/>
    <s v="MD"/>
    <s v="Master"/>
    <x v="1"/>
    <n v="3"/>
    <n v="106612"/>
    <x v="1"/>
    <n v="806"/>
    <s v="Mortgage"/>
    <n v="0"/>
    <n v="641"/>
    <x v="3"/>
    <x v="5"/>
    <x v="49"/>
    <n v="48"/>
    <n v="10.39"/>
    <n v="329.6"/>
    <n v="10.9"/>
    <x v="3"/>
    <s v="Late"/>
    <n v="30"/>
    <x v="0"/>
    <n v="5361.2400000000007"/>
    <n v="0"/>
  </r>
  <r>
    <s v="LN-00055"/>
    <s v="BRW-0043"/>
    <d v="2025-05-16T00:00:00"/>
    <n v="49"/>
    <s v="MN"/>
    <s v="High School"/>
    <x v="4"/>
    <n v="11"/>
    <n v="24811"/>
    <x v="2"/>
    <n v="625"/>
    <s v="Mortgage"/>
    <n v="3"/>
    <n v="747"/>
    <x v="1"/>
    <x v="7"/>
    <x v="50"/>
    <n v="48"/>
    <n v="13.92"/>
    <n v="106.42"/>
    <n v="41.3"/>
    <x v="1"/>
    <s v="Late"/>
    <n v="15"/>
    <x v="0"/>
    <n v="2171.52"/>
    <n v="0"/>
  </r>
  <r>
    <s v="LN-00056"/>
    <s v="BRW-0044"/>
    <d v="2025-06-21T00:00:00"/>
    <n v="64"/>
    <s v="SC"/>
    <s v="Master"/>
    <x v="0"/>
    <n v="26"/>
    <n v="80367"/>
    <x v="2"/>
    <n v="698"/>
    <s v="Mortgage"/>
    <n v="0"/>
    <n v="761"/>
    <x v="4"/>
    <x v="8"/>
    <x v="51"/>
    <n v="36"/>
    <n v="10.34"/>
    <n v="1348.97"/>
    <n v="31.5"/>
    <x v="4"/>
    <s v="Current"/>
    <n v="0"/>
    <x v="0"/>
    <n v="12904.32"/>
    <n v="0"/>
  </r>
  <r>
    <s v="LN-00057"/>
    <s v="BRW-0045"/>
    <d v="2025-02-09T00:00:00"/>
    <n v="48"/>
    <s v="WA"/>
    <s v="Bachelor"/>
    <x v="1"/>
    <n v="19"/>
    <n v="88330"/>
    <x v="2"/>
    <n v="629"/>
    <s v="Mortgage"/>
    <n v="1"/>
    <n v="369"/>
    <x v="1"/>
    <x v="0"/>
    <x v="52"/>
    <n v="24"/>
    <n v="12.11"/>
    <n v="188.5"/>
    <n v="7.6"/>
    <x v="3"/>
    <s v="Current"/>
    <n v="0"/>
    <x v="0"/>
    <n v="968.8"/>
    <n v="0"/>
  </r>
  <r>
    <s v="LN-00058"/>
    <s v="BRW-0046"/>
    <d v="2024-10-19T00:00:00"/>
    <n v="40"/>
    <s v="MN"/>
    <s v="Associate"/>
    <x v="0"/>
    <n v="14"/>
    <n v="57427"/>
    <x v="2"/>
    <n v="694"/>
    <s v="Mortgage"/>
    <n v="0"/>
    <n v="1371"/>
    <x v="4"/>
    <x v="8"/>
    <x v="53"/>
    <n v="36"/>
    <n v="12.3"/>
    <n v="480.35"/>
    <n v="38.700000000000003"/>
    <x v="1"/>
    <s v="Late"/>
    <n v="0"/>
    <x v="0"/>
    <n v="5313.6"/>
    <n v="0"/>
  </r>
  <r>
    <s v="LN-00059"/>
    <s v="BRW-0047"/>
    <d v="2025-05-27T00:00:00"/>
    <n v="32"/>
    <s v="LA"/>
    <s v="Bachelor"/>
    <x v="1"/>
    <n v="5"/>
    <n v="82953"/>
    <x v="1"/>
    <n v="850"/>
    <s v="Own"/>
    <n v="0"/>
    <n v="1418"/>
    <x v="3"/>
    <x v="2"/>
    <x v="54"/>
    <n v="48"/>
    <n v="6.29"/>
    <n v="573.91999999999996"/>
    <n v="28.8"/>
    <x v="4"/>
    <s v="Paid Off"/>
    <n v="0"/>
    <x v="0"/>
    <n v="6113.88"/>
    <n v="0"/>
  </r>
  <r>
    <s v="LN-00060"/>
    <s v="BRW-0048"/>
    <d v="2024-07-25T00:00:00"/>
    <n v="34"/>
    <s v="MA"/>
    <s v="High School"/>
    <x v="1"/>
    <n v="13"/>
    <n v="57034"/>
    <x v="2"/>
    <n v="842"/>
    <s v="Rent"/>
    <n v="1"/>
    <n v="1734"/>
    <x v="3"/>
    <x v="5"/>
    <x v="55"/>
    <n v="12"/>
    <n v="6.86"/>
    <n v="1348.81"/>
    <n v="64.900000000000006"/>
    <x v="2"/>
    <s v="Current"/>
    <n v="0"/>
    <x v="0"/>
    <n v="1070.1600000000001"/>
    <n v="0"/>
  </r>
  <r>
    <s v="LN-00061"/>
    <s v="BRW-0049"/>
    <d v="2025-01-06T00:00:00"/>
    <n v="34"/>
    <s v="CT"/>
    <s v="Master"/>
    <x v="1"/>
    <n v="10"/>
    <n v="88890"/>
    <x v="0"/>
    <n v="615"/>
    <s v="Rent"/>
    <n v="2"/>
    <n v="3222"/>
    <x v="1"/>
    <x v="5"/>
    <x v="56"/>
    <n v="12"/>
    <n v="13.28"/>
    <n v="706.64"/>
    <n v="53"/>
    <x v="0"/>
    <s v="Default"/>
    <n v="128"/>
    <x v="1"/>
    <n v="0"/>
    <n v="7900"/>
  </r>
  <r>
    <s v="LN-00062"/>
    <s v="BRW-0050"/>
    <d v="2024-06-23T00:00:00"/>
    <n v="28"/>
    <s v="GA"/>
    <s v="Master"/>
    <x v="1"/>
    <n v="7"/>
    <n v="123592"/>
    <x v="0"/>
    <n v="815"/>
    <s v="Own"/>
    <n v="3"/>
    <n v="1139"/>
    <x v="3"/>
    <x v="2"/>
    <x v="57"/>
    <n v="60"/>
    <n v="8.32"/>
    <n v="198.17"/>
    <n v="13"/>
    <x v="3"/>
    <s v="Late"/>
    <n v="0"/>
    <x v="0"/>
    <n v="4035.2"/>
    <n v="0"/>
  </r>
  <r>
    <s v="LN-00063"/>
    <s v="BRW-0051"/>
    <d v="2025-04-01T00:00:00"/>
    <n v="30"/>
    <s v="CT"/>
    <s v="Master"/>
    <x v="0"/>
    <n v="5"/>
    <n v="139361"/>
    <x v="1"/>
    <n v="850"/>
    <s v="Rent"/>
    <n v="1"/>
    <n v="5313"/>
    <x v="3"/>
    <x v="5"/>
    <x v="58"/>
    <n v="48"/>
    <n v="7.37"/>
    <n v="873.08"/>
    <n v="53.3"/>
    <x v="0"/>
    <s v="Paid Off"/>
    <n v="0"/>
    <x v="0"/>
    <n v="10671.76"/>
    <n v="0"/>
  </r>
  <r>
    <s v="LN-00064"/>
    <s v="BRW-0052"/>
    <d v="2025-05-25T00:00:00"/>
    <n v="54"/>
    <s v="LA"/>
    <s v="Bachelor"/>
    <x v="2"/>
    <n v="30"/>
    <n v="69049"/>
    <x v="2"/>
    <n v="616"/>
    <s v="Mortgage"/>
    <n v="0"/>
    <n v="2122"/>
    <x v="1"/>
    <x v="8"/>
    <x v="59"/>
    <n v="48"/>
    <n v="12.22"/>
    <n v="372.83"/>
    <n v="43.4"/>
    <x v="1"/>
    <s v="Paid Off"/>
    <n v="0"/>
    <x v="0"/>
    <n v="6892.08"/>
    <n v="0"/>
  </r>
  <r>
    <s v="LN-00065"/>
    <s v="BRW-0052"/>
    <d v="2024-03-22T00:00:00"/>
    <n v="54"/>
    <s v="LA"/>
    <s v="Bachelor"/>
    <x v="2"/>
    <n v="30"/>
    <n v="69049"/>
    <x v="2"/>
    <n v="616"/>
    <s v="Mortgage"/>
    <n v="0"/>
    <n v="2122"/>
    <x v="1"/>
    <x v="7"/>
    <x v="60"/>
    <n v="48"/>
    <n v="11.78"/>
    <n v="687.12"/>
    <n v="48.8"/>
    <x v="0"/>
    <s v="Paid Off"/>
    <n v="0"/>
    <x v="0"/>
    <n v="12345.439999999999"/>
    <n v="0"/>
  </r>
  <r>
    <s v="LN-00066"/>
    <s v="BRW-0053"/>
    <d v="2024-12-23T00:00:00"/>
    <n v="55"/>
    <s v="NJ"/>
    <s v="Bachelor"/>
    <x v="1"/>
    <n v="15"/>
    <n v="68663"/>
    <x v="2"/>
    <n v="681"/>
    <s v="Mortgage"/>
    <n v="3"/>
    <n v="516"/>
    <x v="4"/>
    <x v="2"/>
    <x v="61"/>
    <n v="24"/>
    <n v="9.39"/>
    <n v="550.37"/>
    <n v="18.600000000000001"/>
    <x v="3"/>
    <s v="Default"/>
    <n v="38"/>
    <x v="1"/>
    <n v="0"/>
    <n v="12000"/>
  </r>
  <r>
    <s v="LN-00067"/>
    <s v="BRW-0054"/>
    <d v="2024-07-01T00:00:00"/>
    <n v="31"/>
    <s v="MO"/>
    <s v="Associate"/>
    <x v="0"/>
    <n v="6"/>
    <n v="62036"/>
    <x v="0"/>
    <n v="567"/>
    <s v="Mortgage"/>
    <n v="1"/>
    <n v="419"/>
    <x v="0"/>
    <x v="9"/>
    <x v="62"/>
    <n v="12"/>
    <n v="11.09"/>
    <n v="3333.57"/>
    <n v="72.599999999999994"/>
    <x v="2"/>
    <s v="Default"/>
    <n v="102"/>
    <x v="1"/>
    <n v="0"/>
    <n v="37700"/>
  </r>
  <r>
    <s v="LN-00068"/>
    <s v="BRW-0055"/>
    <d v="2025-01-03T00:00:00"/>
    <n v="48"/>
    <s v="MD"/>
    <s v="Bachelor"/>
    <x v="0"/>
    <n v="27"/>
    <n v="100958"/>
    <x v="2"/>
    <n v="555"/>
    <s v="Rent"/>
    <n v="1"/>
    <n v="445"/>
    <x v="0"/>
    <x v="9"/>
    <x v="63"/>
    <n v="48"/>
    <n v="14.5"/>
    <n v="799.76"/>
    <n v="14.8"/>
    <x v="3"/>
    <s v="Current"/>
    <n v="0"/>
    <x v="0"/>
    <n v="16820"/>
    <n v="0"/>
  </r>
  <r>
    <s v="LN-00069"/>
    <s v="BRW-0056"/>
    <d v="2025-04-27T00:00:00"/>
    <n v="44"/>
    <s v="MO"/>
    <s v="Associate"/>
    <x v="1"/>
    <n v="17"/>
    <n v="70593"/>
    <x v="2"/>
    <n v="749"/>
    <s v="Rent"/>
    <n v="2"/>
    <n v="2934"/>
    <x v="2"/>
    <x v="1"/>
    <x v="64"/>
    <n v="60"/>
    <n v="7.84"/>
    <n v="775.68"/>
    <n v="63.1"/>
    <x v="2"/>
    <s v="Default"/>
    <n v="100"/>
    <x v="1"/>
    <n v="0"/>
    <n v="38400"/>
  </r>
  <r>
    <s v="LN-00070"/>
    <s v="BRW-0057"/>
    <d v="2025-06-25T00:00:00"/>
    <n v="53"/>
    <s v="OR"/>
    <s v="Associate"/>
    <x v="1"/>
    <n v="25"/>
    <n v="30740"/>
    <x v="2"/>
    <n v="697"/>
    <s v="Rent"/>
    <n v="1"/>
    <n v="291"/>
    <x v="4"/>
    <x v="1"/>
    <x v="65"/>
    <n v="60"/>
    <n v="8.67"/>
    <n v="422.27"/>
    <n v="27.8"/>
    <x v="4"/>
    <s v="Late"/>
    <n v="0"/>
    <x v="0"/>
    <n v="8886.75"/>
    <n v="0"/>
  </r>
  <r>
    <s v="LN-00071"/>
    <s v="BRW-0058"/>
    <d v="2024-12-28T00:00:00"/>
    <n v="61"/>
    <s v="IL"/>
    <s v="Bachelor"/>
    <x v="2"/>
    <n v="5"/>
    <n v="78362"/>
    <x v="1"/>
    <n v="548"/>
    <s v="Mortgage"/>
    <n v="3"/>
    <n v="919"/>
    <x v="0"/>
    <x v="3"/>
    <x v="66"/>
    <n v="36"/>
    <n v="13.49"/>
    <n v="1448.83"/>
    <n v="36.299999999999997"/>
    <x v="1"/>
    <s v="Current"/>
    <n v="0"/>
    <x v="0"/>
    <n v="17280.689999999999"/>
    <n v="0"/>
  </r>
  <r>
    <s v="LN-00072"/>
    <s v="BRW-0058"/>
    <d v="2024-10-24T00:00:00"/>
    <n v="61"/>
    <s v="IL"/>
    <s v="Bachelor"/>
    <x v="2"/>
    <n v="5"/>
    <n v="78362"/>
    <x v="1"/>
    <n v="548"/>
    <s v="Mortgage"/>
    <n v="3"/>
    <n v="919"/>
    <x v="0"/>
    <x v="0"/>
    <x v="67"/>
    <n v="60"/>
    <n v="12.03"/>
    <n v="235.95"/>
    <n v="17.7"/>
    <x v="3"/>
    <s v="Current"/>
    <n v="0"/>
    <x v="0"/>
    <n v="6375.9"/>
    <n v="0"/>
  </r>
  <r>
    <s v="LN-00073"/>
    <s v="BRW-0059"/>
    <d v="2025-02-27T00:00:00"/>
    <n v="38"/>
    <s v="OR"/>
    <s v="Bachelor"/>
    <x v="1"/>
    <n v="8"/>
    <n v="61452"/>
    <x v="0"/>
    <n v="729"/>
    <s v="Rent"/>
    <n v="1"/>
    <n v="2393"/>
    <x v="2"/>
    <x v="6"/>
    <x v="61"/>
    <n v="60"/>
    <n v="12.84"/>
    <n v="272.06"/>
    <n v="52"/>
    <x v="0"/>
    <s v="Default"/>
    <n v="119"/>
    <x v="1"/>
    <n v="0"/>
    <n v="12000"/>
  </r>
  <r>
    <s v="LN-00074"/>
    <s v="BRW-0060"/>
    <d v="2024-03-10T00:00:00"/>
    <n v="52"/>
    <s v="LA"/>
    <s v="High School"/>
    <x v="1"/>
    <n v="14"/>
    <n v="57596"/>
    <x v="2"/>
    <n v="709"/>
    <s v="Rent"/>
    <n v="4"/>
    <n v="336"/>
    <x v="2"/>
    <x v="7"/>
    <x v="68"/>
    <n v="36"/>
    <n v="9.4600000000000009"/>
    <n v="166.47"/>
    <n v="10.5"/>
    <x v="3"/>
    <s v="Current"/>
    <n v="0"/>
    <x v="0"/>
    <n v="1475.76"/>
    <n v="0"/>
  </r>
  <r>
    <s v="LN-00075"/>
    <s v="BRW-0061"/>
    <d v="2024-06-28T00:00:00"/>
    <n v="23"/>
    <s v="MN"/>
    <s v="Master"/>
    <x v="1"/>
    <n v="1"/>
    <n v="56348"/>
    <x v="3"/>
    <n v="608"/>
    <s v="Own"/>
    <n v="0"/>
    <n v="2459"/>
    <x v="1"/>
    <x v="4"/>
    <x v="69"/>
    <n v="60"/>
    <n v="14.67"/>
    <n v="696.7"/>
    <n v="67.2"/>
    <x v="2"/>
    <s v="Default"/>
    <n v="116"/>
    <x v="1"/>
    <n v="0"/>
    <n v="29500"/>
  </r>
  <r>
    <s v="LN-00076"/>
    <s v="BRW-0062"/>
    <d v="2025-04-16T00:00:00"/>
    <n v="51"/>
    <s v="PA"/>
    <s v="Bachelor"/>
    <x v="0"/>
    <n v="7"/>
    <n v="51304"/>
    <x v="0"/>
    <n v="840"/>
    <s v="Rent"/>
    <n v="4"/>
    <n v="444"/>
    <x v="3"/>
    <x v="0"/>
    <x v="70"/>
    <n v="24"/>
    <n v="8.41"/>
    <n v="1830.2"/>
    <n v="53.2"/>
    <x v="0"/>
    <s v="Current"/>
    <n v="0"/>
    <x v="0"/>
    <n v="6778.4600000000009"/>
    <n v="0"/>
  </r>
  <r>
    <s v="LN-00077"/>
    <s v="BRW-0062"/>
    <d v="2024-11-19T00:00:00"/>
    <n v="51"/>
    <s v="PA"/>
    <s v="Bachelor"/>
    <x v="0"/>
    <n v="7"/>
    <n v="51304"/>
    <x v="0"/>
    <n v="840"/>
    <s v="Rent"/>
    <n v="4"/>
    <n v="444"/>
    <x v="3"/>
    <x v="1"/>
    <x v="71"/>
    <n v="60"/>
    <n v="7.5"/>
    <n v="94.18"/>
    <n v="12.6"/>
    <x v="3"/>
    <s v="Current"/>
    <n v="0"/>
    <x v="0"/>
    <n v="1762.5"/>
    <n v="0"/>
  </r>
  <r>
    <s v="LN-00078"/>
    <s v="BRW-0063"/>
    <d v="2025-01-19T00:00:00"/>
    <n v="23"/>
    <s v="OH"/>
    <s v="Master"/>
    <x v="3"/>
    <n v="3"/>
    <n v="72879"/>
    <x v="1"/>
    <n v="727"/>
    <s v="Rent"/>
    <n v="0"/>
    <n v="2400"/>
    <x v="2"/>
    <x v="4"/>
    <x v="72"/>
    <n v="12"/>
    <n v="9.58"/>
    <n v="508.78"/>
    <n v="47.9"/>
    <x v="0"/>
    <s v="Current"/>
    <n v="0"/>
    <x v="0"/>
    <n v="555.64"/>
    <n v="0"/>
  </r>
  <r>
    <s v="LN-00079"/>
    <s v="BRW-0064"/>
    <d v="2024-11-18T00:00:00"/>
    <n v="62"/>
    <s v="MD"/>
    <s v="Associate"/>
    <x v="0"/>
    <n v="7"/>
    <n v="43333"/>
    <x v="0"/>
    <n v="837"/>
    <s v="Rent"/>
    <n v="2"/>
    <n v="807"/>
    <x v="3"/>
    <x v="9"/>
    <x v="73"/>
    <n v="36"/>
    <n v="9.58"/>
    <n v="493.88"/>
    <n v="36"/>
    <x v="1"/>
    <s v="Current"/>
    <n v="0"/>
    <x v="0"/>
    <n v="4425.96"/>
    <n v="0"/>
  </r>
  <r>
    <s v="LN-00080"/>
    <s v="BRW-0065"/>
    <d v="2024-06-28T00:00:00"/>
    <n v="49"/>
    <s v="TN"/>
    <s v="Bachelor"/>
    <x v="1"/>
    <n v="27"/>
    <n v="81913"/>
    <x v="2"/>
    <n v="546"/>
    <s v="Mortgage"/>
    <n v="0"/>
    <n v="3620"/>
    <x v="0"/>
    <x v="4"/>
    <x v="74"/>
    <n v="24"/>
    <n v="13.53"/>
    <n v="2274.86"/>
    <n v="86.4"/>
    <x v="2"/>
    <s v="Default"/>
    <n v="39"/>
    <x v="1"/>
    <n v="0"/>
    <n v="47600"/>
  </r>
  <r>
    <s v="LN-00081"/>
    <s v="BRW-0065"/>
    <d v="2025-05-27T00:00:00"/>
    <n v="49"/>
    <s v="TN"/>
    <s v="Bachelor"/>
    <x v="1"/>
    <n v="27"/>
    <n v="81913"/>
    <x v="2"/>
    <n v="546"/>
    <s v="Mortgage"/>
    <n v="0"/>
    <n v="3620"/>
    <x v="0"/>
    <x v="7"/>
    <x v="21"/>
    <n v="12"/>
    <n v="14.9"/>
    <n v="2101.92"/>
    <n v="83.8"/>
    <x v="2"/>
    <s v="Default"/>
    <n v="117"/>
    <x v="1"/>
    <n v="0"/>
    <n v="23300"/>
  </r>
  <r>
    <s v="LN-00082"/>
    <s v="BRW-0066"/>
    <d v="2025-06-12T00:00:00"/>
    <n v="62"/>
    <s v="NC"/>
    <s v="Master"/>
    <x v="1"/>
    <n v="33"/>
    <n v="67726"/>
    <x v="2"/>
    <n v="625"/>
    <s v="Rent"/>
    <n v="2"/>
    <n v="2877"/>
    <x v="1"/>
    <x v="2"/>
    <x v="75"/>
    <n v="12"/>
    <n v="13.69"/>
    <n v="1461.15"/>
    <n v="76.900000000000006"/>
    <x v="2"/>
    <s v="Paid Off"/>
    <n v="0"/>
    <x v="0"/>
    <n v="2231.4699999999998"/>
    <n v="0"/>
  </r>
  <r>
    <s v="LN-00083"/>
    <s v="BRW-0066"/>
    <d v="2024-02-15T00:00:00"/>
    <n v="62"/>
    <s v="NC"/>
    <s v="Master"/>
    <x v="1"/>
    <n v="33"/>
    <n v="67726"/>
    <x v="2"/>
    <n v="625"/>
    <s v="Rent"/>
    <n v="2"/>
    <n v="2877"/>
    <x v="1"/>
    <x v="0"/>
    <x v="76"/>
    <n v="12"/>
    <n v="9.6"/>
    <n v="3816.25"/>
    <n v="118.6"/>
    <x v="2"/>
    <s v="Current"/>
    <n v="0"/>
    <x v="0"/>
    <n v="4176"/>
    <n v="0"/>
  </r>
  <r>
    <s v="LN-00084"/>
    <s v="BRW-0067"/>
    <d v="2024-11-15T00:00:00"/>
    <n v="52"/>
    <s v="NY"/>
    <s v="Bachelor"/>
    <x v="2"/>
    <n v="15"/>
    <n v="78399"/>
    <x v="2"/>
    <n v="700"/>
    <s v="Rent"/>
    <n v="0"/>
    <n v="1799"/>
    <x v="2"/>
    <x v="8"/>
    <x v="77"/>
    <n v="36"/>
    <n v="8.4499999999999993"/>
    <n v="817"/>
    <n v="40"/>
    <x v="1"/>
    <s v="Current"/>
    <n v="0"/>
    <x v="0"/>
    <n v="6565.65"/>
    <n v="0"/>
  </r>
  <r>
    <s v="LN-00085"/>
    <s v="BRW-0068"/>
    <d v="2024-06-10T00:00:00"/>
    <n v="51"/>
    <s v="OH"/>
    <s v="Bachelor"/>
    <x v="0"/>
    <n v="20"/>
    <n v="62062"/>
    <x v="2"/>
    <n v="788"/>
    <s v="Own"/>
    <n v="1"/>
    <n v="926"/>
    <x v="3"/>
    <x v="2"/>
    <x v="78"/>
    <n v="12"/>
    <n v="8.23"/>
    <n v="1724.48"/>
    <n v="51.2"/>
    <x v="0"/>
    <s v="Late"/>
    <n v="0"/>
    <x v="0"/>
    <n v="1629.54"/>
    <n v="0"/>
  </r>
  <r>
    <s v="LN-00086"/>
    <s v="BRW-0069"/>
    <d v="2024-10-17T00:00:00"/>
    <n v="39"/>
    <s v="NY"/>
    <s v="Master"/>
    <x v="0"/>
    <n v="16"/>
    <n v="78303"/>
    <x v="2"/>
    <n v="540"/>
    <s v="Rent"/>
    <n v="0"/>
    <n v="1652"/>
    <x v="0"/>
    <x v="7"/>
    <x v="9"/>
    <n v="36"/>
    <n v="11.71"/>
    <n v="939.36"/>
    <n v="39.700000000000003"/>
    <x v="1"/>
    <s v="Current"/>
    <n v="0"/>
    <x v="0"/>
    <n v="9976.9200000000019"/>
    <n v="0"/>
  </r>
  <r>
    <s v="LN-00087"/>
    <s v="BRW-0070"/>
    <d v="2024-02-21T00:00:00"/>
    <n v="57"/>
    <s v="NY"/>
    <s v="Master"/>
    <x v="0"/>
    <n v="28"/>
    <n v="110018"/>
    <x v="2"/>
    <n v="796"/>
    <s v="Rent"/>
    <n v="0"/>
    <n v="2312"/>
    <x v="3"/>
    <x v="2"/>
    <x v="79"/>
    <n v="48"/>
    <n v="11.25"/>
    <n v="212.93"/>
    <n v="27.5"/>
    <x v="4"/>
    <s v="Current"/>
    <n v="0"/>
    <x v="0"/>
    <n v="3690"/>
    <n v="0"/>
  </r>
  <r>
    <s v="LN-00088"/>
    <s v="BRW-0070"/>
    <d v="2024-11-15T00:00:00"/>
    <n v="57"/>
    <s v="NY"/>
    <s v="Master"/>
    <x v="0"/>
    <n v="28"/>
    <n v="110018"/>
    <x v="2"/>
    <n v="796"/>
    <s v="Rent"/>
    <n v="0"/>
    <n v="2312"/>
    <x v="3"/>
    <x v="5"/>
    <x v="80"/>
    <n v="48"/>
    <n v="9.81"/>
    <n v="1132.1600000000001"/>
    <n v="37.6"/>
    <x v="1"/>
    <s v="Paid Off"/>
    <n v="0"/>
    <x v="0"/>
    <n v="17579.52"/>
    <n v="0"/>
  </r>
  <r>
    <s v="LN-00089"/>
    <s v="BRW-0071"/>
    <d v="2024-04-05T00:00:00"/>
    <n v="37"/>
    <s v="AL"/>
    <s v="Associate"/>
    <x v="3"/>
    <n v="11"/>
    <n v="28195"/>
    <x v="2"/>
    <n v="796"/>
    <s v="Mortgage"/>
    <n v="2"/>
    <n v="530"/>
    <x v="3"/>
    <x v="6"/>
    <x v="81"/>
    <n v="48"/>
    <n v="9.57"/>
    <n v="799.98"/>
    <n v="56.6"/>
    <x v="0"/>
    <s v="Late"/>
    <n v="15"/>
    <x v="0"/>
    <n v="12173.04"/>
    <n v="0"/>
  </r>
  <r>
    <s v="LN-00090"/>
    <s v="BRW-0071"/>
    <d v="2024-08-17T00:00:00"/>
    <n v="37"/>
    <s v="AL"/>
    <s v="Associate"/>
    <x v="3"/>
    <n v="11"/>
    <n v="28195"/>
    <x v="2"/>
    <n v="796"/>
    <s v="Mortgage"/>
    <n v="2"/>
    <n v="530"/>
    <x v="3"/>
    <x v="0"/>
    <x v="49"/>
    <n v="48"/>
    <n v="9.09"/>
    <n v="321.57"/>
    <n v="36.200000000000003"/>
    <x v="1"/>
    <s v="Late"/>
    <n v="15"/>
    <x v="0"/>
    <n v="4690.4399999999996"/>
    <n v="0"/>
  </r>
  <r>
    <s v="LN-00091"/>
    <s v="BRW-0072"/>
    <d v="2024-01-31T00:00:00"/>
    <n v="51"/>
    <s v="MO"/>
    <s v="Associate"/>
    <x v="1"/>
    <n v="20"/>
    <n v="34974"/>
    <x v="2"/>
    <n v="623"/>
    <s v="Own"/>
    <n v="4"/>
    <n v="1151"/>
    <x v="1"/>
    <x v="5"/>
    <x v="82"/>
    <n v="36"/>
    <n v="11.88"/>
    <n v="901.87"/>
    <n v="70.400000000000006"/>
    <x v="2"/>
    <s v="Default"/>
    <n v="58"/>
    <x v="1"/>
    <n v="0"/>
    <n v="27200"/>
  </r>
  <r>
    <s v="LN-00092"/>
    <s v="BRW-0073"/>
    <d v="2024-05-10T00:00:00"/>
    <n v="34"/>
    <s v="FL"/>
    <s v="Associate"/>
    <x v="1"/>
    <n v="9"/>
    <n v="62875"/>
    <x v="0"/>
    <n v="803"/>
    <s v="Mortgage"/>
    <n v="3"/>
    <n v="1038"/>
    <x v="3"/>
    <x v="0"/>
    <x v="83"/>
    <n v="36"/>
    <n v="9.64"/>
    <n v="497.53"/>
    <n v="29.3"/>
    <x v="4"/>
    <s v="Paid Off"/>
    <n v="0"/>
    <x v="0"/>
    <n v="4482.6000000000004"/>
    <n v="0"/>
  </r>
  <r>
    <s v="LN-00093"/>
    <s v="BRW-0074"/>
    <d v="2025-02-27T00:00:00"/>
    <n v="45"/>
    <s v="MO"/>
    <s v="High School"/>
    <x v="1"/>
    <n v="1"/>
    <n v="41201"/>
    <x v="3"/>
    <n v="670"/>
    <s v="Rent"/>
    <n v="0"/>
    <n v="1792"/>
    <x v="4"/>
    <x v="2"/>
    <x v="84"/>
    <n v="60"/>
    <n v="11.14"/>
    <n v="778.7"/>
    <n v="74.900000000000006"/>
    <x v="2"/>
    <s v="Default"/>
    <n v="92"/>
    <x v="1"/>
    <n v="0"/>
    <n v="35700"/>
  </r>
  <r>
    <s v="LN-00094"/>
    <s v="BRW-0075"/>
    <d v="2025-03-21T00:00:00"/>
    <n v="62"/>
    <s v="MA"/>
    <s v="Master"/>
    <x v="1"/>
    <n v="18"/>
    <n v="129479"/>
    <x v="2"/>
    <n v="843"/>
    <s v="Mortgage"/>
    <n v="1"/>
    <n v="5748"/>
    <x v="3"/>
    <x v="0"/>
    <x v="85"/>
    <n v="60"/>
    <n v="8.11"/>
    <n v="374.06"/>
    <n v="56.7"/>
    <x v="0"/>
    <s v="Late"/>
    <n v="0"/>
    <x v="0"/>
    <n v="7461.1999999999989"/>
    <n v="0"/>
  </r>
  <r>
    <s v="LN-00095"/>
    <s v="BRW-0076"/>
    <d v="2025-04-19T00:00:00"/>
    <n v="38"/>
    <s v="CO"/>
    <s v="Master"/>
    <x v="1"/>
    <n v="15"/>
    <n v="125137"/>
    <x v="2"/>
    <n v="755"/>
    <s v="Own"/>
    <n v="2"/>
    <n v="1312"/>
    <x v="3"/>
    <x v="6"/>
    <x v="58"/>
    <n v="48"/>
    <n v="7.99"/>
    <n v="883.58"/>
    <n v="21.1"/>
    <x v="4"/>
    <s v="Current"/>
    <n v="0"/>
    <x v="0"/>
    <n v="11569.52"/>
    <n v="0"/>
  </r>
  <r>
    <s v="LN-00096"/>
    <s v="BRW-0077"/>
    <d v="2025-01-23T00:00:00"/>
    <n v="58"/>
    <s v="KY"/>
    <s v="Master"/>
    <x v="1"/>
    <n v="26"/>
    <n v="75894"/>
    <x v="2"/>
    <n v="820"/>
    <s v="Mortgage"/>
    <n v="2"/>
    <n v="2769"/>
    <x v="3"/>
    <x v="1"/>
    <x v="86"/>
    <n v="60"/>
    <n v="10.19"/>
    <n v="104.57"/>
    <n v="45.4"/>
    <x v="0"/>
    <s v="Current"/>
    <n v="0"/>
    <x v="0"/>
    <n v="2496.5499999999997"/>
    <n v="0"/>
  </r>
  <r>
    <s v="LN-00097"/>
    <s v="BRW-0078"/>
    <d v="2024-06-01T00:00:00"/>
    <n v="46"/>
    <s v="TX"/>
    <s v="Bachelor"/>
    <x v="1"/>
    <n v="9"/>
    <n v="95478"/>
    <x v="0"/>
    <n v="759"/>
    <s v="Mortgage"/>
    <n v="2"/>
    <n v="3342"/>
    <x v="3"/>
    <x v="5"/>
    <x v="87"/>
    <n v="12"/>
    <n v="11.14"/>
    <n v="4015.49"/>
    <n v="92.5"/>
    <x v="2"/>
    <s v="Late"/>
    <n v="0"/>
    <x v="0"/>
    <n v="5057.5600000000004"/>
    <n v="0"/>
  </r>
  <r>
    <s v="LN-00098"/>
    <s v="BRW-0079"/>
    <d v="2024-11-07T00:00:00"/>
    <n v="35"/>
    <s v="PA"/>
    <s v="Bachelor"/>
    <x v="1"/>
    <n v="5"/>
    <n v="45779"/>
    <x v="1"/>
    <n v="652"/>
    <s v="Mortgage"/>
    <n v="0"/>
    <n v="1050"/>
    <x v="4"/>
    <x v="7"/>
    <x v="88"/>
    <n v="60"/>
    <n v="13.11"/>
    <n v="392.32"/>
    <n v="37.799999999999997"/>
    <x v="1"/>
    <s v="Late"/>
    <n v="15"/>
    <x v="0"/>
    <n v="11274.6"/>
    <n v="0"/>
  </r>
  <r>
    <s v="LN-00099"/>
    <s v="BRW-0080"/>
    <d v="2024-05-10T00:00:00"/>
    <n v="60"/>
    <s v="GA"/>
    <s v="Bachelor"/>
    <x v="1"/>
    <n v="29"/>
    <n v="58981"/>
    <x v="2"/>
    <n v="674"/>
    <s v="Own"/>
    <n v="3"/>
    <n v="2181"/>
    <x v="4"/>
    <x v="6"/>
    <x v="89"/>
    <n v="60"/>
    <n v="10.79"/>
    <n v="679.43"/>
    <n v="58.2"/>
    <x v="0"/>
    <s v="Paid Off"/>
    <n v="0"/>
    <x v="0"/>
    <n v="16940.3"/>
    <n v="0"/>
  </r>
  <r>
    <s v="LN-00100"/>
    <s v="BRW-0080"/>
    <d v="2024-10-15T00:00:00"/>
    <n v="60"/>
    <s v="GA"/>
    <s v="Bachelor"/>
    <x v="1"/>
    <n v="29"/>
    <n v="58981"/>
    <x v="2"/>
    <n v="674"/>
    <s v="Own"/>
    <n v="3"/>
    <n v="2181"/>
    <x v="4"/>
    <x v="8"/>
    <x v="90"/>
    <n v="36"/>
    <n v="9.32"/>
    <n v="345.05"/>
    <n v="51.4"/>
    <x v="0"/>
    <s v="Paid Off"/>
    <n v="0"/>
    <x v="0"/>
    <n v="3019.6800000000003"/>
    <n v="0"/>
  </r>
  <r>
    <s v="LN-00101"/>
    <s v="BRW-0081"/>
    <d v="2024-06-26T00:00:00"/>
    <n v="62"/>
    <s v="IL"/>
    <s v="Bachelor"/>
    <x v="2"/>
    <n v="34"/>
    <n v="53220"/>
    <x v="2"/>
    <n v="588"/>
    <s v="Own"/>
    <n v="3"/>
    <n v="2054"/>
    <x v="0"/>
    <x v="4"/>
    <x v="91"/>
    <n v="48"/>
    <n v="12.93"/>
    <n v="576.04"/>
    <n v="59.3"/>
    <x v="0"/>
    <s v="Default"/>
    <n v="78"/>
    <x v="1"/>
    <n v="0"/>
    <n v="21500"/>
  </r>
  <r>
    <s v="LN-00102"/>
    <s v="BRW-0082"/>
    <d v="2024-03-14T00:00:00"/>
    <n v="26"/>
    <s v="MA"/>
    <s v="High School"/>
    <x v="0"/>
    <n v="2"/>
    <n v="43345"/>
    <x v="1"/>
    <n v="821"/>
    <s v="Mortgage"/>
    <n v="2"/>
    <n v="1444"/>
    <x v="3"/>
    <x v="4"/>
    <x v="92"/>
    <n v="24"/>
    <n v="6.99"/>
    <n v="420.82"/>
    <n v="51.6"/>
    <x v="0"/>
    <s v="Paid Off"/>
    <n v="0"/>
    <x v="0"/>
    <n v="1314.1200000000001"/>
    <n v="0"/>
  </r>
  <r>
    <s v="LN-00103"/>
    <s v="BRW-0083"/>
    <d v="2025-03-11T00:00:00"/>
    <n v="39"/>
    <s v="WI"/>
    <s v="Bachelor"/>
    <x v="1"/>
    <n v="13"/>
    <n v="45732"/>
    <x v="2"/>
    <n v="550"/>
    <s v="Rent"/>
    <n v="0"/>
    <n v="364"/>
    <x v="0"/>
    <x v="5"/>
    <x v="93"/>
    <n v="48"/>
    <n v="15.13"/>
    <n v="348.71"/>
    <n v="18.7"/>
    <x v="3"/>
    <s v="Current"/>
    <n v="0"/>
    <x v="0"/>
    <n v="7565.0000000000009"/>
    <n v="0"/>
  </r>
  <r>
    <s v="LN-00104"/>
    <s v="BRW-0084"/>
    <d v="2025-05-25T00:00:00"/>
    <n v="65"/>
    <s v="PA"/>
    <s v="Master"/>
    <x v="3"/>
    <n v="2"/>
    <n v="74897"/>
    <x v="1"/>
    <n v="672"/>
    <s v="Rent"/>
    <n v="1"/>
    <n v="2345"/>
    <x v="4"/>
    <x v="1"/>
    <x v="94"/>
    <n v="60"/>
    <n v="8.84"/>
    <n v="225.42"/>
    <n v="41.2"/>
    <x v="1"/>
    <s v="Current"/>
    <n v="0"/>
    <x v="0"/>
    <n v="4817.7999999999993"/>
    <n v="0"/>
  </r>
  <r>
    <s v="LN-00105"/>
    <s v="BRW-0084"/>
    <d v="2025-05-09T00:00:00"/>
    <n v="65"/>
    <s v="PA"/>
    <s v="Master"/>
    <x v="3"/>
    <n v="2"/>
    <n v="74897"/>
    <x v="1"/>
    <n v="672"/>
    <s v="Rent"/>
    <n v="1"/>
    <n v="2345"/>
    <x v="4"/>
    <x v="1"/>
    <x v="95"/>
    <n v="12"/>
    <n v="13.69"/>
    <n v="2662.35"/>
    <n v="80.2"/>
    <x v="2"/>
    <s v="Current"/>
    <n v="0"/>
    <x v="0"/>
    <n v="4065.93"/>
    <n v="0"/>
  </r>
  <r>
    <s v="LN-00106"/>
    <s v="BRW-0085"/>
    <d v="2024-03-21T00:00:00"/>
    <n v="39"/>
    <s v="AZ"/>
    <s v="High School"/>
    <x v="3"/>
    <n v="2"/>
    <n v="24609"/>
    <x v="1"/>
    <n v="776"/>
    <s v="Mortgage"/>
    <n v="1"/>
    <n v="789"/>
    <x v="3"/>
    <x v="5"/>
    <x v="37"/>
    <n v="36"/>
    <n v="9.39"/>
    <n v="518.1"/>
    <n v="63.7"/>
    <x v="2"/>
    <s v="Current"/>
    <n v="0"/>
    <x v="0"/>
    <n v="4563.5400000000009"/>
    <n v="0"/>
  </r>
  <r>
    <s v="LN-00107"/>
    <s v="BRW-0086"/>
    <d v="2024-02-24T00:00:00"/>
    <n v="32"/>
    <s v="MA"/>
    <s v="Associate"/>
    <x v="0"/>
    <n v="12"/>
    <n v="42715"/>
    <x v="2"/>
    <n v="735"/>
    <s v="Mortgage"/>
    <n v="0"/>
    <n v="627"/>
    <x v="2"/>
    <x v="6"/>
    <x v="96"/>
    <n v="60"/>
    <n v="9.31"/>
    <n v="558.27"/>
    <n v="33.299999999999997"/>
    <x v="4"/>
    <s v="Current"/>
    <n v="0"/>
    <x v="0"/>
    <n v="12428.85"/>
    <n v="0"/>
  </r>
  <r>
    <s v="LN-00108"/>
    <s v="BRW-0087"/>
    <d v="2024-10-28T00:00:00"/>
    <n v="29"/>
    <s v="TX"/>
    <s v="Doctorate"/>
    <x v="1"/>
    <n v="8"/>
    <n v="120275"/>
    <x v="0"/>
    <n v="550"/>
    <s v="Mortgage"/>
    <n v="0"/>
    <n v="2314"/>
    <x v="0"/>
    <x v="0"/>
    <x v="97"/>
    <n v="36"/>
    <n v="15.64"/>
    <n v="626.13"/>
    <n v="29.3"/>
    <x v="4"/>
    <s v="Default"/>
    <n v="39"/>
    <x v="1"/>
    <n v="0"/>
    <n v="17900"/>
  </r>
  <r>
    <s v="LN-00109"/>
    <s v="BRW-0088"/>
    <d v="2025-04-29T00:00:00"/>
    <n v="53"/>
    <s v="MA"/>
    <s v="Bachelor"/>
    <x v="0"/>
    <n v="8"/>
    <n v="53587"/>
    <x v="0"/>
    <n v="811"/>
    <s v="Rent"/>
    <n v="3"/>
    <n v="1305"/>
    <x v="3"/>
    <x v="9"/>
    <x v="98"/>
    <n v="60"/>
    <n v="7.79"/>
    <n v="744.5"/>
    <n v="45.9"/>
    <x v="0"/>
    <s v="Late"/>
    <n v="0"/>
    <x v="0"/>
    <n v="14372.55"/>
    <n v="0"/>
  </r>
  <r>
    <s v="LN-00110"/>
    <s v="BRW-0089"/>
    <d v="2024-10-11T00:00:00"/>
    <n v="23"/>
    <s v="MO"/>
    <s v="Doctorate"/>
    <x v="3"/>
    <n v="2"/>
    <n v="50328"/>
    <x v="1"/>
    <n v="611"/>
    <s v="Mortgage"/>
    <n v="1"/>
    <n v="680"/>
    <x v="1"/>
    <x v="9"/>
    <x v="99"/>
    <n v="24"/>
    <n v="12.34"/>
    <n v="429.81"/>
    <n v="26.5"/>
    <x v="4"/>
    <s v="Default"/>
    <n v="101"/>
    <x v="1"/>
    <n v="0"/>
    <n v="9100"/>
  </r>
  <r>
    <s v="LN-00111"/>
    <s v="BRW-0090"/>
    <d v="2024-06-03T00:00:00"/>
    <n v="29"/>
    <s v="NC"/>
    <s v="Bachelor"/>
    <x v="1"/>
    <n v="4"/>
    <n v="93690"/>
    <x v="1"/>
    <n v="795"/>
    <s v="Mortgage"/>
    <n v="1"/>
    <n v="2273"/>
    <x v="3"/>
    <x v="3"/>
    <x v="100"/>
    <n v="24"/>
    <n v="11.3"/>
    <n v="238.41"/>
    <n v="32.200000000000003"/>
    <x v="4"/>
    <s v="Current"/>
    <n v="0"/>
    <x v="0"/>
    <n v="1152.6000000000001"/>
    <n v="0"/>
  </r>
  <r>
    <s v="LN-00112"/>
    <s v="BRW-0091"/>
    <d v="2024-03-27T00:00:00"/>
    <n v="52"/>
    <s v="IL"/>
    <s v="Associate"/>
    <x v="3"/>
    <n v="32"/>
    <n v="25916"/>
    <x v="2"/>
    <n v="831"/>
    <s v="Rent"/>
    <n v="3"/>
    <n v="406"/>
    <x v="3"/>
    <x v="7"/>
    <x v="101"/>
    <n v="12"/>
    <n v="7.86"/>
    <n v="1625.47"/>
    <n v="94.1"/>
    <x v="2"/>
    <s v="Paid Off"/>
    <n v="0"/>
    <x v="0"/>
    <n v="1469.8200000000002"/>
    <n v="0"/>
  </r>
  <r>
    <s v="LN-00113"/>
    <s v="BRW-0092"/>
    <d v="2024-06-20T00:00:00"/>
    <n v="48"/>
    <s v="OR"/>
    <s v="Associate"/>
    <x v="0"/>
    <n v="9"/>
    <n v="41743"/>
    <x v="0"/>
    <n v="531"/>
    <s v="Rent"/>
    <n v="2"/>
    <n v="1911"/>
    <x v="0"/>
    <x v="1"/>
    <x v="102"/>
    <n v="48"/>
    <n v="14.78"/>
    <n v="371.44"/>
    <n v="65.599999999999994"/>
    <x v="2"/>
    <s v="Default"/>
    <n v="118"/>
    <x v="1"/>
    <n v="0"/>
    <n v="13400"/>
  </r>
  <r>
    <s v="LN-00114"/>
    <s v="BRW-0092"/>
    <d v="2025-04-20T00:00:00"/>
    <n v="48"/>
    <s v="OR"/>
    <s v="Associate"/>
    <x v="0"/>
    <n v="9"/>
    <n v="41743"/>
    <x v="0"/>
    <n v="531"/>
    <s v="Rent"/>
    <n v="2"/>
    <n v="1911"/>
    <x v="0"/>
    <x v="8"/>
    <x v="17"/>
    <n v="12"/>
    <n v="11.41"/>
    <n v="3038.05"/>
    <n v="142.30000000000001"/>
    <x v="2"/>
    <s v="Default"/>
    <n v="107"/>
    <x v="1"/>
    <n v="0"/>
    <n v="34300"/>
  </r>
  <r>
    <s v="LN-00115"/>
    <s v="BRW-0093"/>
    <d v="2024-05-28T00:00:00"/>
    <n v="53"/>
    <s v="NJ"/>
    <s v="Master"/>
    <x v="1"/>
    <n v="24"/>
    <n v="96156"/>
    <x v="2"/>
    <n v="710"/>
    <s v="Mortgage"/>
    <n v="3"/>
    <n v="4330"/>
    <x v="2"/>
    <x v="2"/>
    <x v="103"/>
    <n v="48"/>
    <n v="10.54"/>
    <n v="891.67"/>
    <n v="65.2"/>
    <x v="2"/>
    <s v="Current"/>
    <n v="0"/>
    <x v="0"/>
    <n v="14671.679999999998"/>
    <n v="0"/>
  </r>
  <r>
    <s v="LN-00116"/>
    <s v="BRW-0094"/>
    <d v="2025-06-28T00:00:00"/>
    <n v="37"/>
    <s v="SC"/>
    <s v="Bachelor"/>
    <x v="1"/>
    <n v="10"/>
    <n v="90079"/>
    <x v="0"/>
    <n v="562"/>
    <s v="Rent"/>
    <n v="3"/>
    <n v="1806"/>
    <x v="0"/>
    <x v="1"/>
    <x v="104"/>
    <n v="12"/>
    <n v="11.12"/>
    <n v="4262.6899999999996"/>
    <n v="80.8"/>
    <x v="2"/>
    <s v="Late"/>
    <n v="30"/>
    <x v="0"/>
    <n v="5359.8399999999992"/>
    <n v="0"/>
  </r>
  <r>
    <s v="LN-00117"/>
    <s v="BRW-0095"/>
    <d v="2025-02-04T00:00:00"/>
    <n v="64"/>
    <s v="MD"/>
    <s v="Master"/>
    <x v="0"/>
    <n v="8"/>
    <n v="67650"/>
    <x v="0"/>
    <n v="553"/>
    <s v="Mortgage"/>
    <n v="1"/>
    <n v="564"/>
    <x v="0"/>
    <x v="3"/>
    <x v="59"/>
    <n v="12"/>
    <n v="12.06"/>
    <n v="1253.1600000000001"/>
    <n v="32.200000000000003"/>
    <x v="4"/>
    <s v="Current"/>
    <n v="0"/>
    <x v="0"/>
    <n v="1700.46"/>
    <n v="0"/>
  </r>
  <r>
    <s v="LN-00118"/>
    <s v="BRW-0095"/>
    <d v="2024-01-11T00:00:00"/>
    <n v="64"/>
    <s v="MD"/>
    <s v="Master"/>
    <x v="0"/>
    <n v="8"/>
    <n v="67650"/>
    <x v="0"/>
    <n v="553"/>
    <s v="Mortgage"/>
    <n v="1"/>
    <n v="564"/>
    <x v="0"/>
    <x v="9"/>
    <x v="105"/>
    <n v="24"/>
    <n v="12.35"/>
    <n v="1275.4000000000001"/>
    <n v="32.6"/>
    <x v="4"/>
    <s v="Current"/>
    <n v="0"/>
    <x v="0"/>
    <n v="6669"/>
    <n v="0"/>
  </r>
  <r>
    <s v="LN-00119"/>
    <s v="BRW-0096"/>
    <d v="2024-02-04T00:00:00"/>
    <n v="50"/>
    <s v="IL"/>
    <s v="High School"/>
    <x v="2"/>
    <n v="13"/>
    <n v="22940"/>
    <x v="2"/>
    <n v="598"/>
    <s v="Rent"/>
    <n v="0"/>
    <n v="842"/>
    <x v="0"/>
    <x v="6"/>
    <x v="106"/>
    <n v="36"/>
    <n v="11.29"/>
    <n v="338.63"/>
    <n v="61.8"/>
    <x v="2"/>
    <s v="Default"/>
    <n v="53"/>
    <x v="1"/>
    <n v="0"/>
    <n v="10300"/>
  </r>
  <r>
    <s v="LN-00120"/>
    <s v="BRW-0097"/>
    <d v="2024-05-02T00:00:00"/>
    <n v="38"/>
    <s v="NJ"/>
    <s v="Associate"/>
    <x v="0"/>
    <n v="17"/>
    <n v="59422"/>
    <x v="2"/>
    <n v="698"/>
    <s v="Mortgage"/>
    <n v="2"/>
    <n v="2444"/>
    <x v="4"/>
    <x v="9"/>
    <x v="107"/>
    <n v="60"/>
    <n v="11.56"/>
    <n v="927.16"/>
    <n v="68.099999999999994"/>
    <x v="2"/>
    <s v="Default"/>
    <n v="63"/>
    <x v="1"/>
    <n v="0"/>
    <n v="42100"/>
  </r>
  <r>
    <s v="LN-00121"/>
    <s v="BRW-0098"/>
    <d v="2024-09-16T00:00:00"/>
    <n v="53"/>
    <s v="AL"/>
    <s v="Master"/>
    <x v="1"/>
    <n v="18"/>
    <n v="60470"/>
    <x v="2"/>
    <n v="850"/>
    <s v="Rent"/>
    <n v="0"/>
    <n v="2716"/>
    <x v="3"/>
    <x v="9"/>
    <x v="94"/>
    <n v="12"/>
    <n v="9.31"/>
    <n v="954.79"/>
    <n v="72.8"/>
    <x v="2"/>
    <s v="Current"/>
    <n v="0"/>
    <x v="0"/>
    <n v="1014.7900000000001"/>
    <n v="0"/>
  </r>
  <r>
    <s v="LN-00122"/>
    <s v="BRW-0099"/>
    <d v="2024-03-16T00:00:00"/>
    <n v="62"/>
    <s v="KY"/>
    <s v="Master"/>
    <x v="1"/>
    <n v="1"/>
    <n v="68874"/>
    <x v="3"/>
    <n v="688"/>
    <s v="Own"/>
    <n v="0"/>
    <n v="1315"/>
    <x v="4"/>
    <x v="3"/>
    <x v="108"/>
    <n v="36"/>
    <n v="9.82"/>
    <n v="1132.83"/>
    <n v="42.6"/>
    <x v="1"/>
    <s v="Default"/>
    <n v="45"/>
    <x v="1"/>
    <n v="0"/>
    <n v="35200"/>
  </r>
  <r>
    <s v="LN-00123"/>
    <s v="BRW-0100"/>
    <d v="2024-03-12T00:00:00"/>
    <n v="49"/>
    <s v="WI"/>
    <s v="High School"/>
    <x v="1"/>
    <n v="5"/>
    <n v="42320"/>
    <x v="1"/>
    <n v="622"/>
    <s v="Own"/>
    <n v="3"/>
    <n v="1269"/>
    <x v="1"/>
    <x v="4"/>
    <x v="53"/>
    <n v="36"/>
    <n v="10.52"/>
    <n v="468.17"/>
    <n v="49.3"/>
    <x v="0"/>
    <s v="Late"/>
    <n v="15"/>
    <x v="0"/>
    <n v="4544.6400000000003"/>
    <n v="0"/>
  </r>
  <r>
    <s v="LN-00124"/>
    <s v="BRW-0101"/>
    <d v="2024-04-18T00:00:00"/>
    <n v="37"/>
    <s v="MN"/>
    <s v="Bachelor"/>
    <x v="3"/>
    <n v="8"/>
    <n v="30477"/>
    <x v="0"/>
    <n v="850"/>
    <s v="Mortgage"/>
    <n v="0"/>
    <n v="1148"/>
    <x v="3"/>
    <x v="0"/>
    <x v="109"/>
    <n v="48"/>
    <n v="6.93"/>
    <n v="191.31"/>
    <n v="52.7"/>
    <x v="0"/>
    <s v="Current"/>
    <n v="0"/>
    <x v="0"/>
    <n v="2217.6"/>
    <n v="0"/>
  </r>
  <r>
    <s v="LN-00125"/>
    <s v="BRW-0102"/>
    <d v="2024-06-01T00:00:00"/>
    <n v="40"/>
    <s v="AZ"/>
    <s v="Bachelor"/>
    <x v="1"/>
    <n v="18"/>
    <n v="68782"/>
    <x v="2"/>
    <n v="711"/>
    <s v="Mortgage"/>
    <n v="2"/>
    <n v="1595"/>
    <x v="2"/>
    <x v="9"/>
    <x v="110"/>
    <n v="12"/>
    <n v="12.63"/>
    <n v="3503.35"/>
    <n v="88.9"/>
    <x v="2"/>
    <s v="Current"/>
    <n v="0"/>
    <x v="0"/>
    <n v="4963.59"/>
    <n v="0"/>
  </r>
  <r>
    <s v="LN-00126"/>
    <s v="BRW-0103"/>
    <d v="2025-05-17T00:00:00"/>
    <n v="41"/>
    <s v="MD"/>
    <s v="High School"/>
    <x v="1"/>
    <n v="12"/>
    <n v="39408"/>
    <x v="2"/>
    <n v="646"/>
    <s v="Mortgage"/>
    <n v="0"/>
    <n v="1312"/>
    <x v="1"/>
    <x v="5"/>
    <x v="111"/>
    <n v="60"/>
    <n v="9.25"/>
    <n v="851.9"/>
    <n v="65.900000000000006"/>
    <x v="2"/>
    <s v="Paid Off"/>
    <n v="0"/>
    <x v="0"/>
    <n v="18870"/>
    <n v="0"/>
  </r>
  <r>
    <s v="LN-00127"/>
    <s v="BRW-0104"/>
    <d v="2025-01-02T00:00:00"/>
    <n v="23"/>
    <s v="AL"/>
    <s v="Doctorate"/>
    <x v="0"/>
    <n v="0"/>
    <n v="95183"/>
    <x v="3"/>
    <n v="829"/>
    <s v="Rent"/>
    <n v="1"/>
    <n v="3982"/>
    <x v="3"/>
    <x v="6"/>
    <x v="112"/>
    <n v="48"/>
    <n v="6.79"/>
    <n v="52.47"/>
    <n v="50.9"/>
    <x v="0"/>
    <s v="Current"/>
    <n v="0"/>
    <x v="0"/>
    <n v="597.52"/>
    <n v="0"/>
  </r>
  <r>
    <s v="LN-00128"/>
    <s v="BRW-0104"/>
    <d v="2025-04-15T00:00:00"/>
    <n v="23"/>
    <s v="AL"/>
    <s v="Doctorate"/>
    <x v="0"/>
    <n v="0"/>
    <n v="95183"/>
    <x v="3"/>
    <n v="829"/>
    <s v="Rent"/>
    <n v="1"/>
    <n v="3982"/>
    <x v="3"/>
    <x v="6"/>
    <x v="113"/>
    <n v="36"/>
    <n v="6.59"/>
    <n v="1319.67"/>
    <n v="66.8"/>
    <x v="2"/>
    <s v="Current"/>
    <n v="0"/>
    <x v="0"/>
    <n v="8501.0999999999985"/>
    <n v="0"/>
  </r>
  <r>
    <s v="LN-00129"/>
    <s v="BRW-0105"/>
    <d v="2025-01-02T00:00:00"/>
    <n v="40"/>
    <s v="NC"/>
    <s v="Master"/>
    <x v="1"/>
    <n v="20"/>
    <n v="123405"/>
    <x v="2"/>
    <n v="662"/>
    <s v="Own"/>
    <n v="2"/>
    <n v="4221"/>
    <x v="4"/>
    <x v="1"/>
    <x v="75"/>
    <n v="48"/>
    <n v="13.45"/>
    <n v="440.94"/>
    <n v="45.3"/>
    <x v="0"/>
    <s v="Late"/>
    <n v="15"/>
    <x v="0"/>
    <n v="8769.4"/>
    <n v="0"/>
  </r>
  <r>
    <s v="LN-00130"/>
    <s v="BRW-0106"/>
    <d v="2025-02-02T00:00:00"/>
    <n v="64"/>
    <s v="MA"/>
    <s v="Bachelor"/>
    <x v="1"/>
    <n v="2"/>
    <n v="46799"/>
    <x v="1"/>
    <n v="850"/>
    <s v="Mortgage"/>
    <n v="0"/>
    <n v="906"/>
    <x v="3"/>
    <x v="8"/>
    <x v="114"/>
    <n v="60"/>
    <n v="7.03"/>
    <n v="366.58"/>
    <n v="32.6"/>
    <x v="4"/>
    <s v="Default"/>
    <n v="168"/>
    <x v="1"/>
    <n v="0"/>
    <n v="18500"/>
  </r>
  <r>
    <s v="LN-00131"/>
    <s v="BRW-0107"/>
    <d v="2024-01-17T00:00:00"/>
    <n v="30"/>
    <s v="MO"/>
    <s v="High School"/>
    <x v="1"/>
    <n v="3"/>
    <n v="48711"/>
    <x v="1"/>
    <n v="619"/>
    <s v="Own"/>
    <n v="3"/>
    <n v="945"/>
    <x v="1"/>
    <x v="0"/>
    <x v="115"/>
    <n v="48"/>
    <n v="14.52"/>
    <n v="1064.9000000000001"/>
    <n v="49.5"/>
    <x v="0"/>
    <s v="Default"/>
    <n v="44"/>
    <x v="1"/>
    <n v="0"/>
    <n v="38600"/>
  </r>
  <r>
    <s v="LN-00132"/>
    <s v="BRW-0108"/>
    <d v="2024-06-01T00:00:00"/>
    <n v="54"/>
    <s v="NJ"/>
    <s v="Master"/>
    <x v="2"/>
    <n v="18"/>
    <n v="76648"/>
    <x v="2"/>
    <n v="781"/>
    <s v="Rent"/>
    <n v="3"/>
    <n v="1815"/>
    <x v="3"/>
    <x v="8"/>
    <x v="116"/>
    <n v="60"/>
    <n v="9.2799999999999994"/>
    <n v="254.91"/>
    <n v="32.4"/>
    <x v="4"/>
    <s v="Current"/>
    <n v="0"/>
    <x v="0"/>
    <n v="5660.7999999999993"/>
    <n v="0"/>
  </r>
  <r>
    <s v="LN-00133"/>
    <s v="BRW-0109"/>
    <d v="2024-05-13T00:00:00"/>
    <n v="26"/>
    <s v="VA"/>
    <s v="High School"/>
    <x v="4"/>
    <n v="6"/>
    <n v="31605"/>
    <x v="0"/>
    <n v="728"/>
    <s v="Rent"/>
    <n v="0"/>
    <n v="651"/>
    <x v="2"/>
    <x v="0"/>
    <x v="88"/>
    <n v="60"/>
    <n v="8.1"/>
    <n v="349.58"/>
    <n v="38"/>
    <x v="1"/>
    <s v="Default"/>
    <n v="42"/>
    <x v="1"/>
    <n v="0"/>
    <n v="17200"/>
  </r>
  <r>
    <s v="LN-00134"/>
    <s v="BRW-0110"/>
    <d v="2024-04-18T00:00:00"/>
    <n v="38"/>
    <s v="CO"/>
    <s v="Bachelor"/>
    <x v="1"/>
    <n v="18"/>
    <n v="83526"/>
    <x v="2"/>
    <n v="674"/>
    <s v="Mortgage"/>
    <n v="3"/>
    <n v="725"/>
    <x v="4"/>
    <x v="6"/>
    <x v="117"/>
    <n v="60"/>
    <n v="9.09"/>
    <n v="212.18"/>
    <n v="13.5"/>
    <x v="3"/>
    <s v="Default"/>
    <n v="86"/>
    <x v="1"/>
    <n v="0"/>
    <n v="10200"/>
  </r>
  <r>
    <s v="LN-00135"/>
    <s v="BRW-0110"/>
    <d v="2024-05-20T00:00:00"/>
    <n v="38"/>
    <s v="CO"/>
    <s v="Bachelor"/>
    <x v="1"/>
    <n v="18"/>
    <n v="83526"/>
    <x v="2"/>
    <n v="674"/>
    <s v="Mortgage"/>
    <n v="3"/>
    <n v="725"/>
    <x v="4"/>
    <x v="6"/>
    <x v="118"/>
    <n v="48"/>
    <n v="10.39"/>
    <n v="574.88"/>
    <n v="18.7"/>
    <x v="3"/>
    <s v="Late"/>
    <n v="30"/>
    <x v="0"/>
    <n v="9351"/>
    <n v="0"/>
  </r>
  <r>
    <s v="LN-00136"/>
    <s v="BRW-0111"/>
    <d v="2024-06-21T00:00:00"/>
    <n v="36"/>
    <s v="CO"/>
    <s v="Bachelor"/>
    <x v="3"/>
    <n v="7"/>
    <n v="55425"/>
    <x v="0"/>
    <n v="697"/>
    <s v="Mortgage"/>
    <n v="3"/>
    <n v="2331"/>
    <x v="4"/>
    <x v="5"/>
    <x v="119"/>
    <n v="24"/>
    <n v="12.17"/>
    <n v="306.49"/>
    <n v="57.1"/>
    <x v="0"/>
    <s v="Current"/>
    <n v="0"/>
    <x v="0"/>
    <n v="1582.1000000000001"/>
    <n v="0"/>
  </r>
  <r>
    <s v="LN-00137"/>
    <s v="BRW-0112"/>
    <d v="2024-06-10T00:00:00"/>
    <n v="41"/>
    <s v="FL"/>
    <s v="Bachelor"/>
    <x v="1"/>
    <n v="9"/>
    <n v="43493"/>
    <x v="0"/>
    <n v="549"/>
    <s v="Rent"/>
    <n v="0"/>
    <n v="1789"/>
    <x v="0"/>
    <x v="8"/>
    <x v="37"/>
    <n v="60"/>
    <n v="12.73"/>
    <n v="366.36"/>
    <n v="59.5"/>
    <x v="0"/>
    <s v="Default"/>
    <n v="154"/>
    <x v="1"/>
    <n v="0"/>
    <n v="16200"/>
  </r>
  <r>
    <s v="LN-00138"/>
    <s v="BRW-0112"/>
    <d v="2024-10-17T00:00:00"/>
    <n v="41"/>
    <s v="FL"/>
    <s v="Bachelor"/>
    <x v="1"/>
    <n v="9"/>
    <n v="43493"/>
    <x v="0"/>
    <n v="549"/>
    <s v="Rent"/>
    <n v="0"/>
    <n v="1789"/>
    <x v="0"/>
    <x v="6"/>
    <x v="52"/>
    <n v="12"/>
    <n v="14.38"/>
    <n v="359.86"/>
    <n v="59.3"/>
    <x v="0"/>
    <s v="Default"/>
    <n v="151"/>
    <x v="1"/>
    <n v="0"/>
    <n v="4000"/>
  </r>
  <r>
    <s v="LN-00139"/>
    <s v="BRW-0113"/>
    <d v="2024-06-27T00:00:00"/>
    <n v="30"/>
    <s v="AL"/>
    <s v="Bachelor"/>
    <x v="1"/>
    <n v="6"/>
    <n v="101170"/>
    <x v="0"/>
    <n v="821"/>
    <s v="Mortgage"/>
    <n v="0"/>
    <n v="2170"/>
    <x v="3"/>
    <x v="7"/>
    <x v="53"/>
    <n v="48"/>
    <n v="8.3800000000000008"/>
    <n v="354.12"/>
    <n v="29.9"/>
    <x v="4"/>
    <s v="Current"/>
    <n v="0"/>
    <x v="0"/>
    <n v="4826.880000000001"/>
    <n v="0"/>
  </r>
  <r>
    <s v="LN-00140"/>
    <s v="BRW-0114"/>
    <d v="2024-08-29T00:00:00"/>
    <n v="28"/>
    <s v="OH"/>
    <s v="Master"/>
    <x v="3"/>
    <n v="0"/>
    <n v="74343"/>
    <x v="3"/>
    <n v="678"/>
    <s v="Rent"/>
    <n v="1"/>
    <n v="3254"/>
    <x v="4"/>
    <x v="6"/>
    <x v="120"/>
    <n v="36"/>
    <n v="10.79"/>
    <n v="1292.52"/>
    <n v="73.400000000000006"/>
    <x v="2"/>
    <s v="Default"/>
    <n v="165"/>
    <x v="1"/>
    <n v="0"/>
    <n v="39600"/>
  </r>
  <r>
    <s v="LN-00141"/>
    <s v="BRW-0115"/>
    <d v="2025-04-20T00:00:00"/>
    <n v="45"/>
    <s v="NC"/>
    <s v="High School"/>
    <x v="0"/>
    <n v="11"/>
    <n v="41565"/>
    <x v="2"/>
    <n v="850"/>
    <s v="Own"/>
    <n v="0"/>
    <n v="384"/>
    <x v="3"/>
    <x v="9"/>
    <x v="15"/>
    <n v="60"/>
    <n v="8.3699999999999992"/>
    <n v="484.76"/>
    <n v="25.1"/>
    <x v="4"/>
    <s v="Current"/>
    <n v="0"/>
    <x v="0"/>
    <n v="9918.4499999999989"/>
    <n v="0"/>
  </r>
  <r>
    <s v="LN-00142"/>
    <s v="BRW-0115"/>
    <d v="2024-06-12T00:00:00"/>
    <n v="45"/>
    <s v="NC"/>
    <s v="High School"/>
    <x v="0"/>
    <n v="11"/>
    <n v="41565"/>
    <x v="2"/>
    <n v="850"/>
    <s v="Own"/>
    <n v="0"/>
    <n v="384"/>
    <x v="3"/>
    <x v="7"/>
    <x v="121"/>
    <n v="48"/>
    <n v="8.32"/>
    <n v="108.08"/>
    <n v="14.2"/>
    <x v="3"/>
    <s v="Late"/>
    <n v="0"/>
    <x v="0"/>
    <n v="1464.32"/>
    <n v="0"/>
  </r>
  <r>
    <s v="LN-00143"/>
    <s v="BRW-0116"/>
    <d v="2024-02-23T00:00:00"/>
    <n v="51"/>
    <s v="GA"/>
    <s v="High School"/>
    <x v="1"/>
    <n v="3"/>
    <n v="44910"/>
    <x v="1"/>
    <n v="540"/>
    <s v="Rent"/>
    <n v="4"/>
    <n v="1659"/>
    <x v="0"/>
    <x v="1"/>
    <x v="122"/>
    <n v="48"/>
    <n v="11.22"/>
    <n v="451.57"/>
    <n v="56.4"/>
    <x v="0"/>
    <s v="Paid Off"/>
    <n v="0"/>
    <x v="0"/>
    <n v="7809.1200000000008"/>
    <n v="0"/>
  </r>
  <r>
    <s v="LN-00144"/>
    <s v="BRW-0117"/>
    <d v="2024-11-29T00:00:00"/>
    <n v="35"/>
    <s v="IL"/>
    <s v="High School"/>
    <x v="0"/>
    <n v="7"/>
    <n v="29691"/>
    <x v="0"/>
    <n v="635"/>
    <s v="Mortgage"/>
    <n v="2"/>
    <n v="861"/>
    <x v="1"/>
    <x v="6"/>
    <x v="123"/>
    <n v="48"/>
    <n v="12.38"/>
    <n v="111.39"/>
    <n v="39.299999999999997"/>
    <x v="1"/>
    <s v="Paid Off"/>
    <n v="0"/>
    <x v="0"/>
    <n v="2079.84"/>
    <n v="0"/>
  </r>
  <r>
    <s v="LN-00145"/>
    <s v="BRW-0118"/>
    <d v="2025-01-19T00:00:00"/>
    <n v="39"/>
    <s v="OK"/>
    <s v="Master"/>
    <x v="1"/>
    <n v="5"/>
    <n v="65753"/>
    <x v="1"/>
    <n v="663"/>
    <s v="Own"/>
    <n v="0"/>
    <n v="314"/>
    <x v="4"/>
    <x v="6"/>
    <x v="124"/>
    <n v="48"/>
    <n v="13.3"/>
    <n v="169.95"/>
    <n v="8.8000000000000007"/>
    <x v="3"/>
    <s v="Current"/>
    <n v="0"/>
    <x v="0"/>
    <n v="3351.6000000000004"/>
    <n v="0"/>
  </r>
  <r>
    <s v="LN-00146"/>
    <s v="BRW-0119"/>
    <d v="2025-01-17T00:00:00"/>
    <n v="37"/>
    <s v="AL"/>
    <s v="Bachelor"/>
    <x v="1"/>
    <n v="13"/>
    <n v="57530"/>
    <x v="2"/>
    <n v="594"/>
    <s v="Mortgage"/>
    <n v="0"/>
    <n v="1314"/>
    <x v="0"/>
    <x v="1"/>
    <x v="125"/>
    <n v="48"/>
    <n v="10.99"/>
    <n v="656.35"/>
    <n v="41.1"/>
    <x v="1"/>
    <s v="Default"/>
    <n v="79"/>
    <x v="1"/>
    <n v="0"/>
    <n v="25400"/>
  </r>
  <r>
    <s v="LN-00147"/>
    <s v="BRW-0120"/>
    <d v="2024-05-19T00:00:00"/>
    <n v="45"/>
    <s v="UT"/>
    <s v="Bachelor"/>
    <x v="1"/>
    <n v="1"/>
    <n v="72744"/>
    <x v="3"/>
    <n v="849"/>
    <s v="Rent"/>
    <n v="3"/>
    <n v="1883"/>
    <x v="3"/>
    <x v="3"/>
    <x v="40"/>
    <n v="60"/>
    <n v="6.15"/>
    <n v="131.94"/>
    <n v="33.200000000000003"/>
    <x v="4"/>
    <s v="Default"/>
    <n v="149"/>
    <x v="1"/>
    <n v="0"/>
    <n v="6800"/>
  </r>
  <r>
    <s v="LN-00148"/>
    <s v="BRW-0121"/>
    <d v="2024-06-23T00:00:00"/>
    <n v="51"/>
    <s v="TN"/>
    <s v="Bachelor"/>
    <x v="1"/>
    <n v="27"/>
    <n v="104309"/>
    <x v="2"/>
    <n v="750"/>
    <s v="Rent"/>
    <n v="2"/>
    <n v="2362"/>
    <x v="3"/>
    <x v="5"/>
    <x v="126"/>
    <n v="36"/>
    <n v="10.52"/>
    <n v="409.65"/>
    <n v="31.9"/>
    <x v="4"/>
    <s v="Current"/>
    <n v="0"/>
    <x v="0"/>
    <n v="3976.56"/>
    <n v="0"/>
  </r>
  <r>
    <s v="LN-00149"/>
    <s v="BRW-0122"/>
    <d v="2025-04-18T00:00:00"/>
    <n v="27"/>
    <s v="WI"/>
    <s v="Associate"/>
    <x v="1"/>
    <n v="5"/>
    <n v="35230"/>
    <x v="1"/>
    <n v="844"/>
    <s v="Mortgage"/>
    <n v="1"/>
    <n v="812"/>
    <x v="3"/>
    <x v="2"/>
    <x v="127"/>
    <n v="60"/>
    <n v="8.3000000000000007"/>
    <n v="635.07000000000005"/>
    <n v="49.3"/>
    <x v="0"/>
    <s v="Paid Off"/>
    <n v="0"/>
    <x v="0"/>
    <n v="12906.5"/>
    <n v="0"/>
  </r>
  <r>
    <s v="LN-00150"/>
    <s v="BRW-0123"/>
    <d v="2024-01-06T00:00:00"/>
    <n v="60"/>
    <s v="CT"/>
    <s v="Bachelor"/>
    <x v="0"/>
    <n v="13"/>
    <n v="47899"/>
    <x v="2"/>
    <n v="812"/>
    <s v="Mortgage"/>
    <n v="0"/>
    <n v="876"/>
    <x v="3"/>
    <x v="4"/>
    <x v="106"/>
    <n v="60"/>
    <n v="11.2"/>
    <n v="224.98"/>
    <n v="27.6"/>
    <x v="4"/>
    <s v="Paid Off"/>
    <n v="0"/>
    <x v="0"/>
    <n v="5768"/>
    <n v="0"/>
  </r>
  <r>
    <s v="LN-00151"/>
    <s v="BRW-0124"/>
    <d v="2024-04-10T00:00:00"/>
    <n v="51"/>
    <s v="IL"/>
    <s v="Bachelor"/>
    <x v="0"/>
    <n v="16"/>
    <n v="60540"/>
    <x v="2"/>
    <n v="695"/>
    <s v="Mortgage"/>
    <n v="2"/>
    <n v="1448"/>
    <x v="4"/>
    <x v="2"/>
    <x v="128"/>
    <n v="48"/>
    <n v="12.47"/>
    <n v="316.13"/>
    <n v="35"/>
    <x v="4"/>
    <s v="Current"/>
    <n v="0"/>
    <x v="0"/>
    <n v="5935.72"/>
    <n v="0"/>
  </r>
  <r>
    <s v="LN-00152"/>
    <s v="BRW-0125"/>
    <d v="2024-04-02T00:00:00"/>
    <n v="27"/>
    <s v="MD"/>
    <s v="Master"/>
    <x v="1"/>
    <n v="2"/>
    <n v="62885"/>
    <x v="1"/>
    <n v="725"/>
    <s v="Mortgage"/>
    <n v="4"/>
    <n v="1733"/>
    <x v="2"/>
    <x v="1"/>
    <x v="129"/>
    <n v="36"/>
    <n v="9.11"/>
    <n v="267.55"/>
    <n v="38.200000000000003"/>
    <x v="1"/>
    <s v="Default"/>
    <n v="108"/>
    <x v="1"/>
    <n v="0"/>
    <n v="8400"/>
  </r>
  <r>
    <s v="LN-00153"/>
    <s v="BRW-0126"/>
    <d v="2025-04-19T00:00:00"/>
    <n v="64"/>
    <s v="WI"/>
    <s v="High School"/>
    <x v="1"/>
    <n v="3"/>
    <n v="45819"/>
    <x v="1"/>
    <n v="746"/>
    <s v="Rent"/>
    <n v="1"/>
    <n v="388"/>
    <x v="2"/>
    <x v="0"/>
    <x v="130"/>
    <n v="12"/>
    <n v="12.45"/>
    <n v="3375.35"/>
    <n v="98.6"/>
    <x v="2"/>
    <s v="Late"/>
    <n v="15"/>
    <x v="0"/>
    <n v="4718.55"/>
    <n v="0"/>
  </r>
  <r>
    <s v="LN-00154"/>
    <s v="BRW-0127"/>
    <d v="2024-03-13T00:00:00"/>
    <n v="54"/>
    <s v="VA"/>
    <s v="Associate"/>
    <x v="0"/>
    <n v="22"/>
    <n v="39760"/>
    <x v="2"/>
    <n v="580"/>
    <s v="Rent"/>
    <n v="0"/>
    <n v="627"/>
    <x v="0"/>
    <x v="4"/>
    <x v="131"/>
    <n v="12"/>
    <n v="14.64"/>
    <n v="2702.66"/>
    <n v="100.5"/>
    <x v="2"/>
    <s v="Default"/>
    <n v="115"/>
    <x v="1"/>
    <n v="0"/>
    <n v="30000"/>
  </r>
  <r>
    <s v="LN-00155"/>
    <s v="BRW-0128"/>
    <d v="2024-07-31T00:00:00"/>
    <n v="36"/>
    <s v="MN"/>
    <s v="Master"/>
    <x v="2"/>
    <n v="0"/>
    <n v="138216"/>
    <x v="3"/>
    <n v="850"/>
    <s v="Mortgage"/>
    <n v="3"/>
    <n v="2116"/>
    <x v="3"/>
    <x v="3"/>
    <x v="132"/>
    <n v="60"/>
    <n v="8.5500000000000007"/>
    <n v="306.06"/>
    <n v="21"/>
    <x v="4"/>
    <s v="Paid Off"/>
    <n v="0"/>
    <x v="0"/>
    <n v="6369.75"/>
    <n v="0"/>
  </r>
  <r>
    <s v="LN-00156"/>
    <s v="BRW-0129"/>
    <d v="2024-04-23T00:00:00"/>
    <n v="33"/>
    <s v="IL"/>
    <s v="Associate"/>
    <x v="0"/>
    <n v="0"/>
    <n v="71975"/>
    <x v="3"/>
    <n v="714"/>
    <s v="Own"/>
    <n v="2"/>
    <n v="1501"/>
    <x v="2"/>
    <x v="8"/>
    <x v="133"/>
    <n v="36"/>
    <n v="12.54"/>
    <n v="1529.71"/>
    <n v="50.5"/>
    <x v="0"/>
    <s v="Current"/>
    <n v="0"/>
    <x v="0"/>
    <n v="17192.339999999997"/>
    <n v="0"/>
  </r>
  <r>
    <s v="LN-00157"/>
    <s v="BRW-0130"/>
    <d v="2024-12-08T00:00:00"/>
    <n v="31"/>
    <s v="MA"/>
    <s v="Master"/>
    <x v="4"/>
    <n v="3"/>
    <n v="37483"/>
    <x v="1"/>
    <n v="796"/>
    <s v="Mortgage"/>
    <n v="1"/>
    <n v="734"/>
    <x v="3"/>
    <x v="2"/>
    <x v="134"/>
    <n v="24"/>
    <n v="7.43"/>
    <n v="1124.19"/>
    <n v="59.5"/>
    <x v="0"/>
    <s v="Current"/>
    <n v="0"/>
    <x v="0"/>
    <n v="3714.9999999999995"/>
    <n v="0"/>
  </r>
  <r>
    <s v="LN-00158"/>
    <s v="BRW-0131"/>
    <d v="2024-09-30T00:00:00"/>
    <n v="68"/>
    <s v="WI"/>
    <s v="Associate"/>
    <x v="4"/>
    <n v="9"/>
    <n v="34167"/>
    <x v="0"/>
    <n v="551"/>
    <s v="Own"/>
    <n v="0"/>
    <n v="258"/>
    <x v="0"/>
    <x v="9"/>
    <x v="135"/>
    <n v="24"/>
    <n v="12.42"/>
    <n v="1555.18"/>
    <n v="63.7"/>
    <x v="2"/>
    <s v="Current"/>
    <n v="0"/>
    <x v="0"/>
    <n v="8172.3600000000006"/>
    <n v="0"/>
  </r>
  <r>
    <s v="LN-00159"/>
    <s v="BRW-0131"/>
    <d v="2025-04-26T00:00:00"/>
    <n v="68"/>
    <s v="WI"/>
    <s v="Associate"/>
    <x v="4"/>
    <n v="9"/>
    <n v="34167"/>
    <x v="0"/>
    <n v="551"/>
    <s v="Own"/>
    <n v="0"/>
    <n v="258"/>
    <x v="0"/>
    <x v="4"/>
    <x v="49"/>
    <n v="60"/>
    <n v="14.96"/>
    <n v="306.62"/>
    <n v="19.8"/>
    <x v="3"/>
    <s v="Current"/>
    <n v="0"/>
    <x v="0"/>
    <n v="9649.2000000000007"/>
    <n v="0"/>
  </r>
  <r>
    <s v="LN-00160"/>
    <s v="BRW-0132"/>
    <d v="2025-04-13T00:00:00"/>
    <n v="50"/>
    <s v="FL"/>
    <s v="Bachelor"/>
    <x v="1"/>
    <n v="6"/>
    <n v="68802"/>
    <x v="0"/>
    <n v="674"/>
    <s v="Rent"/>
    <n v="1"/>
    <n v="604"/>
    <x v="4"/>
    <x v="9"/>
    <x v="17"/>
    <n v="12"/>
    <n v="9.7100000000000009"/>
    <n v="3010.89"/>
    <n v="63"/>
    <x v="2"/>
    <s v="Default"/>
    <n v="130"/>
    <x v="1"/>
    <n v="0"/>
    <n v="34300"/>
  </r>
  <r>
    <s v="LN-00161"/>
    <s v="BRW-0133"/>
    <d v="2024-05-31T00:00:00"/>
    <n v="65"/>
    <s v="WI"/>
    <s v="Bachelor"/>
    <x v="1"/>
    <n v="14"/>
    <n v="83163"/>
    <x v="2"/>
    <n v="563"/>
    <s v="Mortgage"/>
    <n v="0"/>
    <n v="1054"/>
    <x v="0"/>
    <x v="3"/>
    <x v="136"/>
    <n v="24"/>
    <n v="12"/>
    <n v="268.32"/>
    <n v="19.100000000000001"/>
    <x v="3"/>
    <s v="Late"/>
    <n v="15"/>
    <x v="0"/>
    <n v="1368"/>
    <n v="0"/>
  </r>
  <r>
    <s v="LN-00162"/>
    <s v="BRW-0133"/>
    <d v="2025-04-30T00:00:00"/>
    <n v="65"/>
    <s v="WI"/>
    <s v="Bachelor"/>
    <x v="1"/>
    <n v="14"/>
    <n v="83163"/>
    <x v="2"/>
    <n v="563"/>
    <s v="Mortgage"/>
    <n v="0"/>
    <n v="1054"/>
    <x v="0"/>
    <x v="8"/>
    <x v="137"/>
    <n v="60"/>
    <n v="15.28"/>
    <n v="1160.95"/>
    <n v="32"/>
    <x v="4"/>
    <s v="Late"/>
    <n v="0"/>
    <x v="0"/>
    <n v="37054"/>
    <n v="0"/>
  </r>
  <r>
    <s v="LN-00163"/>
    <s v="BRW-0134"/>
    <d v="2025-02-25T00:00:00"/>
    <n v="35"/>
    <s v="AZ"/>
    <s v="Master"/>
    <x v="0"/>
    <n v="0"/>
    <n v="79434"/>
    <x v="3"/>
    <n v="596"/>
    <s v="Mortgage"/>
    <n v="0"/>
    <n v="1589"/>
    <x v="0"/>
    <x v="6"/>
    <x v="138"/>
    <n v="60"/>
    <n v="13.29"/>
    <n v="485.52"/>
    <n v="31.3"/>
    <x v="4"/>
    <s v="Paid Off"/>
    <n v="0"/>
    <x v="0"/>
    <n v="14087.4"/>
    <n v="0"/>
  </r>
  <r>
    <s v="LN-00164"/>
    <s v="BRW-0135"/>
    <d v="2024-11-09T00:00:00"/>
    <n v="67"/>
    <s v="AL"/>
    <s v="Associate"/>
    <x v="3"/>
    <n v="4"/>
    <n v="33144"/>
    <x v="1"/>
    <n v="706"/>
    <s v="Mortgage"/>
    <n v="0"/>
    <n v="163"/>
    <x v="2"/>
    <x v="2"/>
    <x v="139"/>
    <n v="36"/>
    <n v="11.07"/>
    <n v="668.55"/>
    <n v="30.1"/>
    <x v="4"/>
    <s v="Current"/>
    <n v="0"/>
    <x v="0"/>
    <n v="6774.84"/>
    <n v="0"/>
  </r>
  <r>
    <s v="LN-00165"/>
    <s v="BRW-0136"/>
    <d v="2024-06-13T00:00:00"/>
    <n v="26"/>
    <s v="WA"/>
    <s v="Master"/>
    <x v="3"/>
    <n v="3"/>
    <n v="57088"/>
    <x v="1"/>
    <n v="850"/>
    <s v="Mortgage"/>
    <n v="0"/>
    <n v="1010"/>
    <x v="3"/>
    <x v="8"/>
    <x v="3"/>
    <n v="24"/>
    <n v="8.93"/>
    <n v="420"/>
    <n v="30.1"/>
    <x v="4"/>
    <s v="Paid Off"/>
    <n v="0"/>
    <x v="0"/>
    <n v="1643.12"/>
    <n v="0"/>
  </r>
  <r>
    <s v="LN-00166"/>
    <s v="BRW-0136"/>
    <d v="2025-03-27T00:00:00"/>
    <n v="26"/>
    <s v="WA"/>
    <s v="Master"/>
    <x v="3"/>
    <n v="3"/>
    <n v="57088"/>
    <x v="1"/>
    <n v="850"/>
    <s v="Mortgage"/>
    <n v="0"/>
    <n v="1010"/>
    <x v="3"/>
    <x v="5"/>
    <x v="100"/>
    <n v="36"/>
    <n v="8.7100000000000009"/>
    <n v="161.49"/>
    <n v="24.6"/>
    <x v="4"/>
    <s v="Current"/>
    <n v="0"/>
    <x v="0"/>
    <n v="1332.63"/>
    <n v="0"/>
  </r>
  <r>
    <s v="LN-00167"/>
    <s v="BRW-0137"/>
    <d v="2024-06-15T00:00:00"/>
    <n v="61"/>
    <s v="MD"/>
    <s v="Bachelor"/>
    <x v="0"/>
    <n v="6"/>
    <n v="63686"/>
    <x v="0"/>
    <n v="758"/>
    <s v="Own"/>
    <n v="1"/>
    <n v="474"/>
    <x v="3"/>
    <x v="4"/>
    <x v="99"/>
    <n v="48"/>
    <n v="10.07"/>
    <n v="231.11"/>
    <n v="13.3"/>
    <x v="3"/>
    <s v="Current"/>
    <n v="0"/>
    <x v="0"/>
    <n v="3665.48"/>
    <n v="0"/>
  </r>
  <r>
    <s v="LN-00168"/>
    <s v="BRW-0138"/>
    <d v="2025-06-03T00:00:00"/>
    <n v="41"/>
    <s v="IN"/>
    <s v="Master"/>
    <x v="1"/>
    <n v="16"/>
    <n v="121448"/>
    <x v="2"/>
    <n v="589"/>
    <s v="Mortgage"/>
    <n v="1"/>
    <n v="5090"/>
    <x v="0"/>
    <x v="5"/>
    <x v="36"/>
    <n v="24"/>
    <n v="10.199999999999999"/>
    <n v="2150.0300000000002"/>
    <n v="71.5"/>
    <x v="2"/>
    <s v="Default"/>
    <n v="105"/>
    <x v="1"/>
    <n v="0"/>
    <n v="46500"/>
  </r>
  <r>
    <s v="LN-00169"/>
    <s v="BRW-0138"/>
    <d v="2025-03-28T00:00:00"/>
    <n v="41"/>
    <s v="IN"/>
    <s v="Master"/>
    <x v="1"/>
    <n v="16"/>
    <n v="121448"/>
    <x v="2"/>
    <n v="589"/>
    <s v="Mortgage"/>
    <n v="1"/>
    <n v="5090"/>
    <x v="0"/>
    <x v="0"/>
    <x v="137"/>
    <n v="60"/>
    <n v="13.52"/>
    <n v="1116.48"/>
    <n v="61.3"/>
    <x v="2"/>
    <s v="Default"/>
    <n v="58"/>
    <x v="1"/>
    <n v="0"/>
    <n v="48500"/>
  </r>
  <r>
    <s v="LN-00170"/>
    <s v="BRW-0139"/>
    <d v="2024-08-13T00:00:00"/>
    <n v="44"/>
    <s v="NC"/>
    <s v="Bachelor"/>
    <x v="4"/>
    <n v="7"/>
    <n v="49067"/>
    <x v="0"/>
    <n v="605"/>
    <s v="Own"/>
    <n v="0"/>
    <n v="1436"/>
    <x v="1"/>
    <x v="8"/>
    <x v="140"/>
    <n v="36"/>
    <n v="10.039999999999999"/>
    <n v="435.86"/>
    <n v="45.8"/>
    <x v="0"/>
    <s v="Current"/>
    <n v="0"/>
    <x v="0"/>
    <n v="4066.2"/>
    <n v="0"/>
  </r>
  <r>
    <s v="LN-00171"/>
    <s v="BRW-0140"/>
    <d v="2024-03-26T00:00:00"/>
    <n v="63"/>
    <s v="CT"/>
    <s v="High School"/>
    <x v="4"/>
    <n v="28"/>
    <n v="26701"/>
    <x v="2"/>
    <n v="762"/>
    <s v="Rent"/>
    <n v="2"/>
    <n v="818"/>
    <x v="3"/>
    <x v="9"/>
    <x v="141"/>
    <n v="36"/>
    <n v="8.2799999999999994"/>
    <n v="626.16999999999996"/>
    <n v="64.900000000000006"/>
    <x v="2"/>
    <s v="Late"/>
    <n v="0"/>
    <x v="0"/>
    <n v="4943.16"/>
    <n v="0"/>
  </r>
  <r>
    <s v="LN-00172"/>
    <s v="BRW-0141"/>
    <d v="2024-02-27T00:00:00"/>
    <n v="61"/>
    <s v="CO"/>
    <s v="Associate"/>
    <x v="4"/>
    <n v="4"/>
    <n v="26403"/>
    <x v="1"/>
    <n v="750"/>
    <s v="Mortgage"/>
    <n v="1"/>
    <n v="412"/>
    <x v="3"/>
    <x v="2"/>
    <x v="47"/>
    <n v="60"/>
    <n v="10.53"/>
    <n v="236.6"/>
    <n v="29.5"/>
    <x v="4"/>
    <s v="Current"/>
    <n v="0"/>
    <x v="0"/>
    <n v="5791.5"/>
    <n v="0"/>
  </r>
  <r>
    <s v="LN-00173"/>
    <s v="BRW-0142"/>
    <d v="2025-04-01T00:00:00"/>
    <n v="25"/>
    <s v="MI"/>
    <s v="Bachelor"/>
    <x v="1"/>
    <n v="0"/>
    <n v="70059"/>
    <x v="3"/>
    <n v="554"/>
    <s v="Mortgage"/>
    <n v="0"/>
    <n v="2814"/>
    <x v="0"/>
    <x v="4"/>
    <x v="142"/>
    <n v="36"/>
    <n v="12.52"/>
    <n v="87"/>
    <n v="49.7"/>
    <x v="0"/>
    <s v="Paid Off"/>
    <n v="0"/>
    <x v="0"/>
    <n v="976.56000000000017"/>
    <n v="0"/>
  </r>
  <r>
    <s v="LN-00174"/>
    <s v="BRW-0142"/>
    <d v="2025-03-10T00:00:00"/>
    <n v="25"/>
    <s v="MI"/>
    <s v="Bachelor"/>
    <x v="1"/>
    <n v="0"/>
    <n v="70059"/>
    <x v="3"/>
    <n v="554"/>
    <s v="Mortgage"/>
    <n v="0"/>
    <n v="2814"/>
    <x v="0"/>
    <x v="0"/>
    <x v="143"/>
    <n v="48"/>
    <n v="12.21"/>
    <n v="578.97"/>
    <n v="58.1"/>
    <x v="0"/>
    <s v="Paid Off"/>
    <n v="0"/>
    <x v="0"/>
    <n v="10695.960000000001"/>
    <n v="0"/>
  </r>
  <r>
    <s v="LN-00175"/>
    <s v="BRW-0143"/>
    <d v="2024-03-08T00:00:00"/>
    <n v="27"/>
    <s v="KY"/>
    <s v="Bachelor"/>
    <x v="1"/>
    <n v="0"/>
    <n v="70121"/>
    <x v="3"/>
    <n v="818"/>
    <s v="Mortgage"/>
    <n v="2"/>
    <n v="842"/>
    <x v="3"/>
    <x v="5"/>
    <x v="144"/>
    <n v="60"/>
    <n v="11.3"/>
    <n v="422.52"/>
    <n v="21.6"/>
    <x v="4"/>
    <s v="Current"/>
    <n v="0"/>
    <x v="0"/>
    <n v="10904.5"/>
    <n v="0"/>
  </r>
  <r>
    <s v="LN-00176"/>
    <s v="BRW-0144"/>
    <d v="2024-05-20T00:00:00"/>
    <n v="60"/>
    <s v="NY"/>
    <s v="Bachelor"/>
    <x v="1"/>
    <n v="21"/>
    <n v="44547"/>
    <x v="2"/>
    <n v="582"/>
    <s v="Rent"/>
    <n v="1"/>
    <n v="505"/>
    <x v="0"/>
    <x v="3"/>
    <x v="19"/>
    <n v="60"/>
    <n v="14.08"/>
    <n v="480.18"/>
    <n v="26.5"/>
    <x v="4"/>
    <s v="Default"/>
    <n v="127"/>
    <x v="1"/>
    <n v="0"/>
    <n v="20600"/>
  </r>
  <r>
    <s v="LN-00177"/>
    <s v="BRW-0145"/>
    <d v="2025-04-19T00:00:00"/>
    <n v="37"/>
    <s v="UT"/>
    <s v="Master"/>
    <x v="4"/>
    <n v="5"/>
    <n v="59739"/>
    <x v="1"/>
    <n v="842"/>
    <s v="Mortgage"/>
    <n v="0"/>
    <n v="1266"/>
    <x v="3"/>
    <x v="0"/>
    <x v="145"/>
    <n v="60"/>
    <n v="7.49"/>
    <n v="354.59"/>
    <n v="32.6"/>
    <x v="4"/>
    <s v="Current"/>
    <n v="0"/>
    <x v="0"/>
    <n v="6628.6500000000015"/>
    <n v="0"/>
  </r>
  <r>
    <s v="LN-00178"/>
    <s v="BRW-0146"/>
    <d v="2025-05-18T00:00:00"/>
    <n v="43"/>
    <s v="MO"/>
    <s v="Bachelor"/>
    <x v="1"/>
    <n v="2"/>
    <n v="80850"/>
    <x v="1"/>
    <n v="711"/>
    <s v="Mortgage"/>
    <n v="2"/>
    <n v="1294"/>
    <x v="2"/>
    <x v="0"/>
    <x v="146"/>
    <n v="36"/>
    <n v="10.24"/>
    <n v="803.02"/>
    <n v="31.1"/>
    <x v="4"/>
    <s v="Current"/>
    <n v="0"/>
    <x v="0"/>
    <n v="7618.5599999999995"/>
    <n v="0"/>
  </r>
  <r>
    <s v="LN-00179"/>
    <s v="BRW-0147"/>
    <d v="2025-03-22T00:00:00"/>
    <n v="68"/>
    <s v="MN"/>
    <s v="Master"/>
    <x v="4"/>
    <n v="21"/>
    <n v="63786"/>
    <x v="2"/>
    <n v="611"/>
    <s v="Own"/>
    <n v="0"/>
    <n v="1195"/>
    <x v="1"/>
    <x v="0"/>
    <x v="68"/>
    <n v="36"/>
    <n v="12.72"/>
    <n v="174.51"/>
    <n v="25.8"/>
    <x v="4"/>
    <s v="Current"/>
    <n v="0"/>
    <x v="0"/>
    <n v="1984.3200000000002"/>
    <n v="0"/>
  </r>
  <r>
    <s v="LN-00180"/>
    <s v="BRW-0148"/>
    <d v="2024-06-15T00:00:00"/>
    <n v="63"/>
    <s v="CO"/>
    <s v="Bachelor"/>
    <x v="1"/>
    <n v="19"/>
    <n v="78563"/>
    <x v="2"/>
    <n v="578"/>
    <s v="Mortgage"/>
    <n v="2"/>
    <n v="2989"/>
    <x v="0"/>
    <x v="6"/>
    <x v="147"/>
    <n v="12"/>
    <n v="14.59"/>
    <n v="3350.42"/>
    <n v="96.8"/>
    <x v="2"/>
    <s v="Current"/>
    <n v="0"/>
    <x v="0"/>
    <n v="5427.4800000000005"/>
    <n v="0"/>
  </r>
  <r>
    <s v="LN-00181"/>
    <s v="BRW-0149"/>
    <d v="2024-12-30T00:00:00"/>
    <n v="64"/>
    <s v="AZ"/>
    <s v="Master"/>
    <x v="4"/>
    <n v="5"/>
    <n v="84093"/>
    <x v="1"/>
    <n v="809"/>
    <s v="Mortgage"/>
    <n v="1"/>
    <n v="414"/>
    <x v="3"/>
    <x v="4"/>
    <x v="42"/>
    <n v="48"/>
    <n v="9.6999999999999993"/>
    <n v="322.8"/>
    <n v="10.5"/>
    <x v="3"/>
    <s v="Default"/>
    <n v="104"/>
    <x v="1"/>
    <n v="0"/>
    <n v="12800"/>
  </r>
  <r>
    <s v="LN-00182"/>
    <s v="BRW-0150"/>
    <d v="2024-06-20T00:00:00"/>
    <n v="41"/>
    <s v="IL"/>
    <s v="High School"/>
    <x v="1"/>
    <n v="6"/>
    <n v="55757"/>
    <x v="0"/>
    <n v="778"/>
    <s v="Own"/>
    <n v="0"/>
    <n v="919"/>
    <x v="3"/>
    <x v="6"/>
    <x v="148"/>
    <n v="24"/>
    <n v="10.86"/>
    <n v="1805.86"/>
    <n v="58.6"/>
    <x v="0"/>
    <s v="Late"/>
    <n v="15"/>
    <x v="0"/>
    <n v="8427.3599999999988"/>
    <n v="0"/>
  </r>
  <r>
    <s v="LN-00183"/>
    <s v="BRW-0151"/>
    <d v="2024-12-26T00:00:00"/>
    <n v="28"/>
    <s v="CT"/>
    <s v="Bachelor"/>
    <x v="1"/>
    <n v="0"/>
    <n v="87725"/>
    <x v="3"/>
    <n v="809"/>
    <s v="Rent"/>
    <n v="2"/>
    <n v="844"/>
    <x v="3"/>
    <x v="3"/>
    <x v="149"/>
    <n v="36"/>
    <n v="7"/>
    <n v="1096.1400000000001"/>
    <n v="26.5"/>
    <x v="4"/>
    <s v="Current"/>
    <n v="0"/>
    <x v="0"/>
    <n v="7455.0000000000018"/>
    <n v="0"/>
  </r>
  <r>
    <s v="LN-00184"/>
    <s v="BRW-0152"/>
    <d v="2024-06-07T00:00:00"/>
    <n v="46"/>
    <s v="AL"/>
    <s v="High School"/>
    <x v="1"/>
    <n v="25"/>
    <n v="46788"/>
    <x v="2"/>
    <n v="849"/>
    <s v="Rent"/>
    <n v="1"/>
    <n v="995"/>
    <x v="3"/>
    <x v="0"/>
    <x v="150"/>
    <n v="24"/>
    <n v="6.36"/>
    <n v="1530.22"/>
    <n v="64.8"/>
    <x v="2"/>
    <s v="Paid Off"/>
    <n v="0"/>
    <x v="0"/>
    <n v="4375.68"/>
    <n v="0"/>
  </r>
  <r>
    <s v="LN-00185"/>
    <s v="BRW-0153"/>
    <d v="2024-03-19T00:00:00"/>
    <n v="65"/>
    <s v="MI"/>
    <s v="Master"/>
    <x v="4"/>
    <n v="14"/>
    <n v="64193"/>
    <x v="2"/>
    <n v="764"/>
    <s v="Mortgage"/>
    <n v="4"/>
    <n v="2365"/>
    <x v="3"/>
    <x v="2"/>
    <x v="58"/>
    <n v="12"/>
    <n v="9.35"/>
    <n v="3171.62"/>
    <n v="103.5"/>
    <x v="2"/>
    <s v="Default"/>
    <n v="63"/>
    <x v="1"/>
    <n v="0"/>
    <n v="36200"/>
  </r>
  <r>
    <s v="LN-00186"/>
    <s v="BRW-0154"/>
    <d v="2025-06-19T00:00:00"/>
    <n v="34"/>
    <s v="WA"/>
    <s v="Bachelor"/>
    <x v="4"/>
    <n v="12"/>
    <n v="62044"/>
    <x v="2"/>
    <n v="771"/>
    <s v="Mortgage"/>
    <n v="1"/>
    <n v="1340"/>
    <x v="3"/>
    <x v="0"/>
    <x v="89"/>
    <n v="24"/>
    <n v="11.24"/>
    <n v="1466.99"/>
    <n v="54.3"/>
    <x v="0"/>
    <s v="Paid Off"/>
    <n v="0"/>
    <x v="0"/>
    <n v="7058.72"/>
    <n v="0"/>
  </r>
  <r>
    <s v="LN-00187"/>
    <s v="BRW-0154"/>
    <d v="2024-05-25T00:00:00"/>
    <n v="34"/>
    <s v="WA"/>
    <s v="Bachelor"/>
    <x v="4"/>
    <n v="12"/>
    <n v="62044"/>
    <x v="2"/>
    <n v="771"/>
    <s v="Mortgage"/>
    <n v="1"/>
    <n v="1340"/>
    <x v="3"/>
    <x v="8"/>
    <x v="151"/>
    <n v="24"/>
    <n v="11.43"/>
    <n v="360.42"/>
    <n v="32.9"/>
    <x v="4"/>
    <s v="Current"/>
    <n v="0"/>
    <x v="0"/>
    <n v="1760.22"/>
    <n v="0"/>
  </r>
  <r>
    <s v="LN-00188"/>
    <s v="BRW-0155"/>
    <d v="2025-05-10T00:00:00"/>
    <n v="32"/>
    <s v="OK"/>
    <s v="Master"/>
    <x v="2"/>
    <n v="0"/>
    <n v="66474"/>
    <x v="3"/>
    <n v="663"/>
    <s v="Mortgage"/>
    <n v="1"/>
    <n v="2864"/>
    <x v="4"/>
    <x v="1"/>
    <x v="120"/>
    <n v="12"/>
    <n v="9.0399999999999991"/>
    <n v="3463.81"/>
    <n v="114.2"/>
    <x v="2"/>
    <s v="Current"/>
    <n v="0"/>
    <x v="0"/>
    <n v="3579.8399999999997"/>
    <n v="0"/>
  </r>
  <r>
    <s v="LN-00189"/>
    <s v="BRW-0155"/>
    <d v="2024-11-04T00:00:00"/>
    <n v="32"/>
    <s v="OK"/>
    <s v="Master"/>
    <x v="2"/>
    <n v="0"/>
    <n v="66474"/>
    <x v="3"/>
    <n v="663"/>
    <s v="Mortgage"/>
    <n v="1"/>
    <n v="2864"/>
    <x v="4"/>
    <x v="2"/>
    <x v="152"/>
    <n v="36"/>
    <n v="9.17"/>
    <n v="781.03"/>
    <n v="65.8"/>
    <x v="2"/>
    <s v="Paid Off"/>
    <n v="0"/>
    <x v="0"/>
    <n v="6739.9500000000007"/>
    <n v="0"/>
  </r>
  <r>
    <s v="LN-00190"/>
    <s v="BRW-0156"/>
    <d v="2024-05-29T00:00:00"/>
    <n v="67"/>
    <s v="IN"/>
    <s v="Master"/>
    <x v="2"/>
    <n v="17"/>
    <n v="79058"/>
    <x v="2"/>
    <n v="617"/>
    <s v="Mortgage"/>
    <n v="0"/>
    <n v="1770"/>
    <x v="1"/>
    <x v="7"/>
    <x v="153"/>
    <n v="36"/>
    <n v="9.86"/>
    <n v="373.54"/>
    <n v="32.5"/>
    <x v="4"/>
    <s v="Late"/>
    <n v="15"/>
    <x v="0"/>
    <n v="3431.2799999999997"/>
    <n v="0"/>
  </r>
  <r>
    <s v="LN-00191"/>
    <s v="BRW-0156"/>
    <d v="2024-03-10T00:00:00"/>
    <n v="67"/>
    <s v="IN"/>
    <s v="Master"/>
    <x v="2"/>
    <n v="17"/>
    <n v="79058"/>
    <x v="2"/>
    <n v="617"/>
    <s v="Mortgage"/>
    <n v="0"/>
    <n v="1770"/>
    <x v="1"/>
    <x v="4"/>
    <x v="113"/>
    <n v="60"/>
    <n v="10.93"/>
    <n v="933.42"/>
    <n v="41"/>
    <x v="1"/>
    <s v="Default"/>
    <n v="178"/>
    <x v="1"/>
    <n v="0"/>
    <n v="43000"/>
  </r>
  <r>
    <s v="LN-00192"/>
    <s v="BRW-0157"/>
    <d v="2024-01-05T00:00:00"/>
    <n v="36"/>
    <s v="VA"/>
    <s v="Master"/>
    <x v="2"/>
    <n v="1"/>
    <n v="134434"/>
    <x v="3"/>
    <n v="762"/>
    <s v="Mortgage"/>
    <n v="0"/>
    <n v="6130"/>
    <x v="3"/>
    <x v="2"/>
    <x v="4"/>
    <n v="36"/>
    <n v="8.16"/>
    <n v="351.79"/>
    <n v="57.9"/>
    <x v="0"/>
    <s v="Current"/>
    <n v="0"/>
    <x v="0"/>
    <n v="2741.76"/>
    <n v="0"/>
  </r>
  <r>
    <s v="LN-00193"/>
    <s v="BRW-0158"/>
    <d v="2024-04-19T00:00:00"/>
    <n v="45"/>
    <s v="TX"/>
    <s v="Associate"/>
    <x v="1"/>
    <n v="25"/>
    <n v="33977"/>
    <x v="2"/>
    <n v="696"/>
    <s v="Own"/>
    <n v="0"/>
    <n v="1316"/>
    <x v="4"/>
    <x v="0"/>
    <x v="55"/>
    <n v="48"/>
    <n v="11.77"/>
    <n v="409.05"/>
    <n v="60.9"/>
    <x v="2"/>
    <s v="Default"/>
    <n v="120"/>
    <x v="1"/>
    <n v="0"/>
    <n v="15600"/>
  </r>
  <r>
    <s v="LN-00194"/>
    <s v="BRW-0159"/>
    <d v="2024-11-17T00:00:00"/>
    <n v="66"/>
    <s v="CA"/>
    <s v="Master"/>
    <x v="0"/>
    <n v="0"/>
    <n v="94849"/>
    <x v="3"/>
    <n v="850"/>
    <s v="Rent"/>
    <n v="0"/>
    <n v="3695"/>
    <x v="3"/>
    <x v="1"/>
    <x v="49"/>
    <n v="12"/>
    <n v="9.64"/>
    <n v="1131.96"/>
    <n v="61.1"/>
    <x v="2"/>
    <s v="Default"/>
    <n v="58"/>
    <x v="1"/>
    <n v="0"/>
    <n v="12900"/>
  </r>
  <r>
    <s v="LN-00195"/>
    <s v="BRW-0159"/>
    <d v="2024-02-11T00:00:00"/>
    <n v="66"/>
    <s v="CA"/>
    <s v="Master"/>
    <x v="0"/>
    <n v="0"/>
    <n v="94849"/>
    <x v="3"/>
    <n v="850"/>
    <s v="Rent"/>
    <n v="0"/>
    <n v="3695"/>
    <x v="3"/>
    <x v="2"/>
    <x v="154"/>
    <n v="36"/>
    <n v="8.6199999999999992"/>
    <n v="1075.19"/>
    <n v="60.4"/>
    <x v="2"/>
    <s v="Default"/>
    <n v="156"/>
    <x v="1"/>
    <n v="0"/>
    <n v="34000"/>
  </r>
  <r>
    <s v="LN-00196"/>
    <s v="BRW-0160"/>
    <d v="2025-02-21T00:00:00"/>
    <n v="57"/>
    <s v="TX"/>
    <s v="Master"/>
    <x v="3"/>
    <n v="15"/>
    <n v="50003"/>
    <x v="2"/>
    <n v="677"/>
    <s v="Mortgage"/>
    <n v="0"/>
    <n v="1539"/>
    <x v="4"/>
    <x v="3"/>
    <x v="81"/>
    <n v="48"/>
    <n v="9.85"/>
    <n v="804.24"/>
    <n v="56.2"/>
    <x v="0"/>
    <s v="Default"/>
    <n v="139"/>
    <x v="1"/>
    <n v="0"/>
    <n v="31800"/>
  </r>
  <r>
    <s v="LN-00197"/>
    <s v="BRW-0161"/>
    <d v="2025-05-18T00:00:00"/>
    <n v="61"/>
    <s v="IN"/>
    <s v="Bachelor"/>
    <x v="1"/>
    <n v="34"/>
    <n v="98348"/>
    <x v="2"/>
    <n v="845"/>
    <s v="Own"/>
    <n v="2"/>
    <n v="3354"/>
    <x v="3"/>
    <x v="6"/>
    <x v="155"/>
    <n v="36"/>
    <n v="6.81"/>
    <n v="1247.01"/>
    <n v="56.1"/>
    <x v="0"/>
    <s v="Current"/>
    <n v="0"/>
    <x v="0"/>
    <n v="8274.15"/>
    <n v="0"/>
  </r>
  <r>
    <s v="LN-00198"/>
    <s v="BRW-0162"/>
    <d v="2024-06-21T00:00:00"/>
    <n v="40"/>
    <s v="NY"/>
    <s v="Bachelor"/>
    <x v="3"/>
    <n v="5"/>
    <n v="30770"/>
    <x v="1"/>
    <n v="738"/>
    <s v="Rent"/>
    <n v="1"/>
    <n v="590"/>
    <x v="2"/>
    <x v="6"/>
    <x v="156"/>
    <n v="60"/>
    <n v="12.59"/>
    <n v="157.81"/>
    <n v="29.2"/>
    <x v="4"/>
    <s v="Default"/>
    <n v="80"/>
    <x v="1"/>
    <n v="0"/>
    <n v="7000"/>
  </r>
  <r>
    <s v="LN-00199"/>
    <s v="BRW-0163"/>
    <d v="2025-05-26T00:00:00"/>
    <n v="55"/>
    <s v="TX"/>
    <s v="Bachelor"/>
    <x v="0"/>
    <n v="24"/>
    <n v="72986"/>
    <x v="2"/>
    <n v="545"/>
    <s v="Rent"/>
    <n v="2"/>
    <n v="3287"/>
    <x v="0"/>
    <x v="9"/>
    <x v="157"/>
    <n v="24"/>
    <n v="15.11"/>
    <n v="1038.73"/>
    <n v="71.099999999999994"/>
    <x v="2"/>
    <s v="Default"/>
    <n v="178"/>
    <x v="1"/>
    <n v="0"/>
    <n v="21400"/>
  </r>
  <r>
    <s v="LN-00200"/>
    <s v="BRW-0164"/>
    <d v="2025-06-07T00:00:00"/>
    <n v="38"/>
    <s v="AL"/>
    <s v="Master"/>
    <x v="1"/>
    <n v="3"/>
    <n v="60396"/>
    <x v="1"/>
    <n v="658"/>
    <s v="Rent"/>
    <n v="2"/>
    <n v="587"/>
    <x v="4"/>
    <x v="1"/>
    <x v="131"/>
    <n v="48"/>
    <n v="13.97"/>
    <n v="819.34"/>
    <n v="27.9"/>
    <x v="4"/>
    <s v="Current"/>
    <n v="0"/>
    <x v="0"/>
    <n v="16764.000000000004"/>
    <n v="0"/>
  </r>
  <r>
    <s v="LN-00201"/>
    <s v="BRW-0165"/>
    <d v="2024-02-24T00:00:00"/>
    <n v="44"/>
    <s v="PA"/>
    <s v="Bachelor"/>
    <x v="2"/>
    <n v="22"/>
    <n v="51770"/>
    <x v="2"/>
    <n v="767"/>
    <s v="Mortgage"/>
    <n v="3"/>
    <n v="351"/>
    <x v="3"/>
    <x v="0"/>
    <x v="158"/>
    <n v="12"/>
    <n v="7.71"/>
    <n v="2457.98"/>
    <n v="65.099999999999994"/>
    <x v="2"/>
    <s v="Current"/>
    <n v="0"/>
    <x v="0"/>
    <n v="2181.9299999999998"/>
    <n v="0"/>
  </r>
  <r>
    <s v="LN-00202"/>
    <s v="BRW-0166"/>
    <d v="2024-03-19T00:00:00"/>
    <n v="51"/>
    <s v="IN"/>
    <s v="High School"/>
    <x v="1"/>
    <n v="20"/>
    <n v="50247"/>
    <x v="2"/>
    <n v="551"/>
    <s v="Rent"/>
    <n v="1"/>
    <n v="1916"/>
    <x v="0"/>
    <x v="9"/>
    <x v="159"/>
    <n v="60"/>
    <n v="13.93"/>
    <n v="216.06"/>
    <n v="50.9"/>
    <x v="0"/>
    <s v="Current"/>
    <n v="0"/>
    <x v="0"/>
    <n v="6477.45"/>
    <n v="0"/>
  </r>
  <r>
    <s v="LN-00203"/>
    <s v="BRW-0167"/>
    <d v="2024-01-19T00:00:00"/>
    <n v="52"/>
    <s v="NJ"/>
    <s v="Associate"/>
    <x v="0"/>
    <n v="3"/>
    <n v="38228"/>
    <x v="1"/>
    <n v="707"/>
    <s v="Rent"/>
    <n v="0"/>
    <n v="1432"/>
    <x v="2"/>
    <x v="3"/>
    <x v="91"/>
    <n v="36"/>
    <n v="10.93"/>
    <n v="703.17"/>
    <n v="67"/>
    <x v="2"/>
    <s v="Current"/>
    <n v="0"/>
    <x v="0"/>
    <n v="7049.8499999999995"/>
    <n v="0"/>
  </r>
  <r>
    <s v="LN-00204"/>
    <s v="BRW-0168"/>
    <d v="2024-02-03T00:00:00"/>
    <n v="49"/>
    <s v="TN"/>
    <s v="Master"/>
    <x v="0"/>
    <n v="10"/>
    <n v="131359"/>
    <x v="0"/>
    <n v="747"/>
    <s v="Rent"/>
    <n v="2"/>
    <n v="2557"/>
    <x v="2"/>
    <x v="1"/>
    <x v="160"/>
    <n v="48"/>
    <n v="9.85"/>
    <n v="1084.97"/>
    <n v="33.299999999999997"/>
    <x v="4"/>
    <s v="Paid Off"/>
    <n v="0"/>
    <x v="0"/>
    <n v="16902.599999999999"/>
    <n v="0"/>
  </r>
  <r>
    <s v="LN-00205"/>
    <s v="BRW-0168"/>
    <d v="2024-04-22T00:00:00"/>
    <n v="49"/>
    <s v="TN"/>
    <s v="Master"/>
    <x v="0"/>
    <n v="10"/>
    <n v="131359"/>
    <x v="0"/>
    <n v="747"/>
    <s v="Rent"/>
    <n v="2"/>
    <n v="2557"/>
    <x v="2"/>
    <x v="5"/>
    <x v="161"/>
    <n v="48"/>
    <n v="9.99"/>
    <n v="215.54"/>
    <n v="25.3"/>
    <x v="4"/>
    <s v="Current"/>
    <n v="0"/>
    <x v="0"/>
    <n v="3396.6"/>
    <n v="0"/>
  </r>
  <r>
    <s v="LN-00206"/>
    <s v="BRW-0169"/>
    <d v="2024-09-26T00:00:00"/>
    <n v="55"/>
    <s v="NJ"/>
    <s v="Associate"/>
    <x v="1"/>
    <n v="11"/>
    <n v="49011"/>
    <x v="2"/>
    <n v="750"/>
    <s v="Mortgage"/>
    <n v="0"/>
    <n v="873"/>
    <x v="3"/>
    <x v="0"/>
    <x v="162"/>
    <n v="60"/>
    <n v="7.78"/>
    <n v="742.3"/>
    <n v="39.5"/>
    <x v="1"/>
    <s v="Late"/>
    <n v="30"/>
    <x v="0"/>
    <n v="14315.200000000003"/>
    <n v="0"/>
  </r>
  <r>
    <s v="LN-00207"/>
    <s v="BRW-0170"/>
    <d v="2025-01-10T00:00:00"/>
    <n v="40"/>
    <s v="AL"/>
    <s v="Associate"/>
    <x v="3"/>
    <n v="11"/>
    <n v="26997"/>
    <x v="2"/>
    <n v="752"/>
    <s v="Mortgage"/>
    <n v="3"/>
    <n v="509"/>
    <x v="3"/>
    <x v="3"/>
    <x v="163"/>
    <n v="12"/>
    <n v="8.11"/>
    <n v="217.6"/>
    <n v="32.299999999999997"/>
    <x v="4"/>
    <s v="Current"/>
    <n v="0"/>
    <x v="0"/>
    <n v="202.74999999999997"/>
    <n v="0"/>
  </r>
  <r>
    <s v="LN-00208"/>
    <s v="BRW-0171"/>
    <d v="2024-02-27T00:00:00"/>
    <n v="49"/>
    <s v="VA"/>
    <s v="Associate"/>
    <x v="4"/>
    <n v="21"/>
    <n v="43915"/>
    <x v="2"/>
    <n v="568"/>
    <s v="Mortgage"/>
    <n v="1"/>
    <n v="1555"/>
    <x v="0"/>
    <x v="4"/>
    <x v="73"/>
    <n v="36"/>
    <n v="12.59"/>
    <n v="515.85"/>
    <n v="56.6"/>
    <x v="0"/>
    <s v="Late"/>
    <n v="0"/>
    <x v="0"/>
    <n v="5816.58"/>
    <n v="0"/>
  </r>
  <r>
    <s v="LN-00209"/>
    <s v="BRW-0171"/>
    <d v="2024-06-22T00:00:00"/>
    <n v="49"/>
    <s v="VA"/>
    <s v="Associate"/>
    <x v="4"/>
    <n v="21"/>
    <n v="43915"/>
    <x v="2"/>
    <n v="568"/>
    <s v="Mortgage"/>
    <n v="1"/>
    <n v="1555"/>
    <x v="0"/>
    <x v="9"/>
    <x v="42"/>
    <n v="36"/>
    <n v="11.11"/>
    <n v="419.72"/>
    <n v="54"/>
    <x v="0"/>
    <s v="Default"/>
    <n v="113"/>
    <x v="1"/>
    <n v="0"/>
    <n v="12800"/>
  </r>
  <r>
    <s v="LN-00210"/>
    <s v="BRW-0172"/>
    <d v="2025-04-25T00:00:00"/>
    <n v="32"/>
    <s v="GA"/>
    <s v="Doctorate"/>
    <x v="1"/>
    <n v="0"/>
    <n v="129991"/>
    <x v="3"/>
    <n v="774"/>
    <s v="Own"/>
    <n v="2"/>
    <n v="2525"/>
    <x v="3"/>
    <x v="1"/>
    <x v="164"/>
    <n v="36"/>
    <n v="7.2"/>
    <n v="1402.88"/>
    <n v="36.299999999999997"/>
    <x v="1"/>
    <s v="Late"/>
    <n v="30"/>
    <x v="0"/>
    <n v="9784.8000000000011"/>
    <n v="0"/>
  </r>
  <r>
    <s v="LN-00211"/>
    <s v="BRW-0173"/>
    <d v="2025-05-29T00:00:00"/>
    <n v="46"/>
    <s v="LA"/>
    <s v="Master"/>
    <x v="1"/>
    <n v="11"/>
    <n v="67764"/>
    <x v="2"/>
    <n v="765"/>
    <s v="Mortgage"/>
    <n v="0"/>
    <n v="671"/>
    <x v="3"/>
    <x v="9"/>
    <x v="165"/>
    <n v="24"/>
    <n v="8.93"/>
    <n v="675.66"/>
    <n v="23.8"/>
    <x v="4"/>
    <s v="Current"/>
    <n v="0"/>
    <x v="0"/>
    <n v="2643.2799999999997"/>
    <n v="0"/>
  </r>
  <r>
    <s v="LN-00212"/>
    <s v="BRW-0174"/>
    <d v="2024-08-07T00:00:00"/>
    <n v="45"/>
    <s v="TN"/>
    <s v="Bachelor"/>
    <x v="3"/>
    <n v="0"/>
    <n v="31088"/>
    <x v="3"/>
    <n v="583"/>
    <s v="Rent"/>
    <n v="1"/>
    <n v="1312"/>
    <x v="0"/>
    <x v="1"/>
    <x v="166"/>
    <n v="12"/>
    <n v="14.49"/>
    <n v="1026.2"/>
    <n v="90.3"/>
    <x v="2"/>
    <s v="Default"/>
    <n v="42"/>
    <x v="1"/>
    <n v="0"/>
    <n v="11400"/>
  </r>
  <r>
    <s v="LN-00213"/>
    <s v="BRW-0175"/>
    <d v="2024-04-07T00:00:00"/>
    <n v="29"/>
    <s v="TN"/>
    <s v="Associate"/>
    <x v="1"/>
    <n v="4"/>
    <n v="50017"/>
    <x v="1"/>
    <n v="843"/>
    <s v="Rent"/>
    <n v="0"/>
    <n v="491"/>
    <x v="3"/>
    <x v="9"/>
    <x v="167"/>
    <n v="12"/>
    <n v="9.5399999999999991"/>
    <n v="912.1"/>
    <n v="33.700000000000003"/>
    <x v="4"/>
    <s v="Current"/>
    <n v="0"/>
    <x v="0"/>
    <n v="992.15999999999985"/>
    <n v="0"/>
  </r>
  <r>
    <s v="LN-00214"/>
    <s v="BRW-0176"/>
    <d v="2024-11-03T00:00:00"/>
    <n v="26"/>
    <s v="OK"/>
    <s v="Bachelor"/>
    <x v="2"/>
    <n v="6"/>
    <n v="68998"/>
    <x v="0"/>
    <n v="579"/>
    <s v="Rent"/>
    <n v="4"/>
    <n v="2207"/>
    <x v="0"/>
    <x v="1"/>
    <x v="168"/>
    <n v="36"/>
    <n v="12.87"/>
    <n v="1032.48"/>
    <n v="56.3"/>
    <x v="0"/>
    <s v="Default"/>
    <n v="168"/>
    <x v="1"/>
    <n v="0"/>
    <n v="30700"/>
  </r>
  <r>
    <s v="LN-00215"/>
    <s v="BRW-0177"/>
    <d v="2024-07-03T00:00:00"/>
    <n v="67"/>
    <s v="IN"/>
    <s v="High School"/>
    <x v="1"/>
    <n v="11"/>
    <n v="53774"/>
    <x v="2"/>
    <n v="610"/>
    <s v="Rent"/>
    <n v="0"/>
    <n v="2431"/>
    <x v="1"/>
    <x v="1"/>
    <x v="32"/>
    <n v="48"/>
    <n v="13.19"/>
    <n v="729.58"/>
    <n v="70.5"/>
    <x v="2"/>
    <s v="Current"/>
    <n v="0"/>
    <x v="0"/>
    <n v="14297.96"/>
    <n v="0"/>
  </r>
  <r>
    <s v="LN-00216"/>
    <s v="BRW-0178"/>
    <d v="2025-06-29T00:00:00"/>
    <n v="30"/>
    <s v="MO"/>
    <s v="Associate"/>
    <x v="1"/>
    <n v="5"/>
    <n v="46073"/>
    <x v="1"/>
    <n v="823"/>
    <s v="Mortgage"/>
    <n v="0"/>
    <n v="1889"/>
    <x v="3"/>
    <x v="0"/>
    <x v="169"/>
    <n v="48"/>
    <n v="7.62"/>
    <n v="598.6"/>
    <n v="64.8"/>
    <x v="2"/>
    <s v="Late"/>
    <n v="15"/>
    <x v="0"/>
    <n v="7528.56"/>
    <n v="0"/>
  </r>
  <r>
    <s v="LN-00217"/>
    <s v="BRW-0179"/>
    <d v="2024-11-03T00:00:00"/>
    <n v="26"/>
    <s v="OR"/>
    <s v="Associate"/>
    <x v="4"/>
    <n v="3"/>
    <n v="37566"/>
    <x v="1"/>
    <n v="794"/>
    <s v="Rent"/>
    <n v="2"/>
    <n v="352"/>
    <x v="3"/>
    <x v="8"/>
    <x v="170"/>
    <n v="24"/>
    <n v="7.97"/>
    <n v="632.99"/>
    <n v="31.5"/>
    <x v="4"/>
    <s v="Paid Off"/>
    <n v="0"/>
    <x v="0"/>
    <n v="2231.6"/>
    <n v="0"/>
  </r>
  <r>
    <s v="LN-00218"/>
    <s v="BRW-0179"/>
    <d v="2024-06-13T00:00:00"/>
    <n v="26"/>
    <s v="OR"/>
    <s v="Associate"/>
    <x v="4"/>
    <n v="3"/>
    <n v="37566"/>
    <x v="1"/>
    <n v="794"/>
    <s v="Rent"/>
    <n v="2"/>
    <n v="352"/>
    <x v="3"/>
    <x v="6"/>
    <x v="154"/>
    <n v="36"/>
    <n v="10.89"/>
    <n v="1111.3499999999999"/>
    <n v="46.7"/>
    <x v="0"/>
    <s v="Current"/>
    <n v="0"/>
    <x v="0"/>
    <n v="11107.800000000001"/>
    <n v="0"/>
  </r>
  <r>
    <s v="LN-00219"/>
    <s v="BRW-0180"/>
    <d v="2025-03-22T00:00:00"/>
    <n v="42"/>
    <s v="LA"/>
    <s v="Bachelor"/>
    <x v="1"/>
    <n v="4"/>
    <n v="83990"/>
    <x v="1"/>
    <n v="716"/>
    <s v="Rent"/>
    <n v="2"/>
    <n v="2406"/>
    <x v="2"/>
    <x v="7"/>
    <x v="171"/>
    <n v="36"/>
    <n v="10.39"/>
    <n v="736.63"/>
    <n v="44.9"/>
    <x v="1"/>
    <s v="Late"/>
    <n v="15"/>
    <x v="0"/>
    <n v="7075.59"/>
    <n v="0"/>
  </r>
  <r>
    <s v="LN-00220"/>
    <s v="BRW-0181"/>
    <d v="2024-02-13T00:00:00"/>
    <n v="30"/>
    <s v="PA"/>
    <s v="Bachelor"/>
    <x v="2"/>
    <n v="8"/>
    <n v="44135"/>
    <x v="0"/>
    <n v="593"/>
    <s v="Own"/>
    <n v="0"/>
    <n v="1902"/>
    <x v="0"/>
    <x v="8"/>
    <x v="172"/>
    <n v="60"/>
    <n v="11"/>
    <n v="478.33"/>
    <n v="64.7"/>
    <x v="2"/>
    <s v="Current"/>
    <n v="0"/>
    <x v="0"/>
    <n v="12100"/>
    <n v="0"/>
  </r>
  <r>
    <s v="LN-00221"/>
    <s v="BRW-0182"/>
    <d v="2025-02-20T00:00:00"/>
    <n v="36"/>
    <s v="MO"/>
    <s v="Associate"/>
    <x v="4"/>
    <n v="8"/>
    <n v="42447"/>
    <x v="0"/>
    <n v="570"/>
    <s v="Own"/>
    <n v="0"/>
    <n v="1282"/>
    <x v="0"/>
    <x v="6"/>
    <x v="173"/>
    <n v="12"/>
    <n v="15"/>
    <n v="902.58"/>
    <n v="61.8"/>
    <x v="2"/>
    <s v="Paid Off"/>
    <n v="0"/>
    <x v="0"/>
    <n v="1500"/>
    <n v="0"/>
  </r>
  <r>
    <s v="LN-00222"/>
    <s v="BRW-0182"/>
    <d v="2025-05-27T00:00:00"/>
    <n v="36"/>
    <s v="MO"/>
    <s v="Associate"/>
    <x v="4"/>
    <n v="8"/>
    <n v="42447"/>
    <x v="0"/>
    <n v="570"/>
    <s v="Own"/>
    <n v="0"/>
    <n v="1282"/>
    <x v="0"/>
    <x v="1"/>
    <x v="162"/>
    <n v="24"/>
    <n v="11.68"/>
    <n v="1726.81"/>
    <n v="85.1"/>
    <x v="2"/>
    <s v="Paid Off"/>
    <n v="0"/>
    <x v="0"/>
    <n v="8596.48"/>
    <n v="0"/>
  </r>
  <r>
    <s v="LN-00223"/>
    <s v="BRW-0183"/>
    <d v="2024-11-16T00:00:00"/>
    <n v="61"/>
    <s v="WI"/>
    <s v="Bachelor"/>
    <x v="1"/>
    <n v="9"/>
    <n v="51358"/>
    <x v="0"/>
    <n v="827"/>
    <s v="Own"/>
    <n v="2"/>
    <n v="1508"/>
    <x v="3"/>
    <x v="2"/>
    <x v="174"/>
    <n v="24"/>
    <n v="9.2200000000000006"/>
    <n v="1263.69"/>
    <n v="64.8"/>
    <x v="2"/>
    <s v="Current"/>
    <n v="0"/>
    <x v="0"/>
    <n v="5089.4400000000005"/>
    <n v="0"/>
  </r>
  <r>
    <s v="LN-00224"/>
    <s v="BRW-0183"/>
    <d v="2024-10-08T00:00:00"/>
    <n v="61"/>
    <s v="WI"/>
    <s v="Bachelor"/>
    <x v="1"/>
    <n v="9"/>
    <n v="51358"/>
    <x v="0"/>
    <n v="827"/>
    <s v="Own"/>
    <n v="2"/>
    <n v="1508"/>
    <x v="3"/>
    <x v="7"/>
    <x v="93"/>
    <n v="12"/>
    <n v="7.09"/>
    <n v="1082.0999999999999"/>
    <n v="60.5"/>
    <x v="2"/>
    <s v="Current"/>
    <n v="0"/>
    <x v="0"/>
    <n v="886.25000000000011"/>
    <n v="0"/>
  </r>
  <r>
    <s v="LN-00225"/>
    <s v="BRW-0184"/>
    <d v="2024-09-09T00:00:00"/>
    <n v="58"/>
    <s v="LA"/>
    <s v="High School"/>
    <x v="2"/>
    <n v="16"/>
    <n v="25259"/>
    <x v="2"/>
    <n v="850"/>
    <s v="Rent"/>
    <n v="2"/>
    <n v="755"/>
    <x v="3"/>
    <x v="4"/>
    <x v="175"/>
    <n v="60"/>
    <n v="7.95"/>
    <n v="101.26"/>
    <n v="40.700000000000003"/>
    <x v="1"/>
    <s v="Late"/>
    <n v="15"/>
    <x v="0"/>
    <n v="1987.5"/>
    <n v="0"/>
  </r>
  <r>
    <s v="LN-00226"/>
    <s v="BRW-0185"/>
    <d v="2024-02-25T00:00:00"/>
    <n v="23"/>
    <s v="KY"/>
    <s v="Bachelor"/>
    <x v="3"/>
    <n v="3"/>
    <n v="32494"/>
    <x v="1"/>
    <n v="679"/>
    <s v="Own"/>
    <n v="2"/>
    <n v="538"/>
    <x v="4"/>
    <x v="4"/>
    <x v="176"/>
    <n v="60"/>
    <n v="8.86"/>
    <n v="57.93"/>
    <n v="22"/>
    <x v="4"/>
    <s v="Current"/>
    <n v="0"/>
    <x v="0"/>
    <n v="1240.3999999999999"/>
    <n v="0"/>
  </r>
  <r>
    <s v="LN-00227"/>
    <s v="BRW-0186"/>
    <d v="2024-08-30T00:00:00"/>
    <n v="26"/>
    <s v="IL"/>
    <s v="Bachelor"/>
    <x v="1"/>
    <n v="1"/>
    <n v="67116"/>
    <x v="3"/>
    <n v="772"/>
    <s v="Mortgage"/>
    <n v="1"/>
    <n v="2288"/>
    <x v="3"/>
    <x v="3"/>
    <x v="177"/>
    <n v="12"/>
    <n v="9.81"/>
    <n v="3126.66"/>
    <n v="96.8"/>
    <x v="2"/>
    <s v="Paid Off"/>
    <n v="0"/>
    <x v="0"/>
    <n v="3492.36"/>
    <n v="0"/>
  </r>
  <r>
    <s v="LN-00228"/>
    <s v="BRW-0187"/>
    <d v="2024-06-13T00:00:00"/>
    <n v="68"/>
    <s v="NJ"/>
    <s v="Doctorate"/>
    <x v="1"/>
    <n v="32"/>
    <n v="108165"/>
    <x v="2"/>
    <n v="734"/>
    <s v="Mortgage"/>
    <n v="0"/>
    <n v="1002"/>
    <x v="2"/>
    <x v="3"/>
    <x v="178"/>
    <n v="24"/>
    <n v="9.25"/>
    <n v="2148"/>
    <n v="34.9"/>
    <x v="4"/>
    <s v="Paid Off"/>
    <n v="0"/>
    <x v="0"/>
    <n v="8676.5"/>
    <n v="0"/>
  </r>
  <r>
    <s v="LN-00229"/>
    <s v="BRW-0188"/>
    <d v="2025-05-18T00:00:00"/>
    <n v="50"/>
    <s v="GA"/>
    <s v="Associate"/>
    <x v="1"/>
    <n v="27"/>
    <n v="42807"/>
    <x v="2"/>
    <n v="726"/>
    <s v="Mortgage"/>
    <n v="4"/>
    <n v="1787"/>
    <x v="2"/>
    <x v="1"/>
    <x v="179"/>
    <n v="12"/>
    <n v="12.02"/>
    <n v="1350.64"/>
    <n v="88"/>
    <x v="2"/>
    <s v="Paid Off"/>
    <n v="0"/>
    <x v="0"/>
    <n v="1827.04"/>
    <n v="0"/>
  </r>
  <r>
    <s v="LN-00230"/>
    <s v="BRW-0189"/>
    <d v="2025-03-06T00:00:00"/>
    <n v="42"/>
    <s v="MA"/>
    <s v="Master"/>
    <x v="0"/>
    <n v="15"/>
    <n v="70887"/>
    <x v="2"/>
    <n v="616"/>
    <s v="Rent"/>
    <n v="1"/>
    <n v="1206"/>
    <x v="1"/>
    <x v="6"/>
    <x v="149"/>
    <n v="60"/>
    <n v="10.07"/>
    <n v="755.49"/>
    <n v="33.200000000000003"/>
    <x v="4"/>
    <s v="Paid Off"/>
    <n v="0"/>
    <x v="0"/>
    <n v="17874.25"/>
    <n v="0"/>
  </r>
  <r>
    <s v="LN-00231"/>
    <s v="BRW-0190"/>
    <d v="2024-05-19T00:00:00"/>
    <n v="23"/>
    <s v="TX"/>
    <s v="High School"/>
    <x v="1"/>
    <n v="1"/>
    <n v="38494"/>
    <x v="3"/>
    <n v="648"/>
    <s v="Mortgage"/>
    <n v="0"/>
    <n v="954"/>
    <x v="1"/>
    <x v="8"/>
    <x v="168"/>
    <n v="24"/>
    <n v="12.35"/>
    <n v="1450.18"/>
    <n v="74.900000000000006"/>
    <x v="2"/>
    <s v="Default"/>
    <n v="81"/>
    <x v="1"/>
    <n v="0"/>
    <n v="30700"/>
  </r>
  <r>
    <s v="LN-00232"/>
    <s v="BRW-0191"/>
    <d v="2024-05-13T00:00:00"/>
    <n v="63"/>
    <s v="NC"/>
    <s v="Bachelor"/>
    <x v="1"/>
    <n v="27"/>
    <n v="41121"/>
    <x v="2"/>
    <n v="585"/>
    <s v="Own"/>
    <n v="2"/>
    <n v="1480"/>
    <x v="0"/>
    <x v="4"/>
    <x v="124"/>
    <n v="24"/>
    <n v="12.83"/>
    <n v="299.01"/>
    <n v="51.9"/>
    <x v="0"/>
    <s v="Paid Off"/>
    <n v="0"/>
    <x v="0"/>
    <n v="1616.58"/>
    <n v="0"/>
  </r>
  <r>
    <s v="LN-00233"/>
    <s v="BRW-0192"/>
    <d v="2024-12-01T00:00:00"/>
    <n v="45"/>
    <s v="WA"/>
    <s v="High School"/>
    <x v="1"/>
    <n v="17"/>
    <n v="42175"/>
    <x v="2"/>
    <n v="715"/>
    <s v="Mortgage"/>
    <n v="1"/>
    <n v="1519"/>
    <x v="2"/>
    <x v="0"/>
    <x v="129"/>
    <n v="24"/>
    <n v="11.52"/>
    <n v="393.54"/>
    <n v="54.4"/>
    <x v="0"/>
    <s v="Current"/>
    <n v="0"/>
    <x v="0"/>
    <n v="1935.36"/>
    <n v="0"/>
  </r>
  <r>
    <s v="LN-00234"/>
    <s v="BRW-0193"/>
    <d v="2024-01-24T00:00:00"/>
    <n v="39"/>
    <s v="KY"/>
    <s v="Master"/>
    <x v="3"/>
    <n v="3"/>
    <n v="58864"/>
    <x v="1"/>
    <n v="595"/>
    <s v="Mortgage"/>
    <n v="4"/>
    <n v="1613"/>
    <x v="0"/>
    <x v="1"/>
    <x v="180"/>
    <n v="24"/>
    <n v="10.19"/>
    <n v="2052.73"/>
    <n v="74.7"/>
    <x v="2"/>
    <s v="Late"/>
    <n v="0"/>
    <x v="0"/>
    <n v="9048.7199999999993"/>
    <n v="0"/>
  </r>
  <r>
    <s v="LN-00235"/>
    <s v="BRW-0194"/>
    <d v="2025-03-15T00:00:00"/>
    <n v="45"/>
    <s v="IL"/>
    <s v="Master"/>
    <x v="1"/>
    <n v="1"/>
    <n v="98282"/>
    <x v="3"/>
    <n v="796"/>
    <s v="Own"/>
    <n v="2"/>
    <n v="3701"/>
    <x v="3"/>
    <x v="0"/>
    <x v="84"/>
    <n v="24"/>
    <n v="6.98"/>
    <n v="1598.06"/>
    <n v="64.7"/>
    <x v="2"/>
    <s v="Paid Off"/>
    <n v="0"/>
    <x v="0"/>
    <n v="4983.72"/>
    <n v="0"/>
  </r>
  <r>
    <s v="LN-00236"/>
    <s v="BRW-0194"/>
    <d v="2025-04-09T00:00:00"/>
    <n v="45"/>
    <s v="IL"/>
    <s v="Master"/>
    <x v="1"/>
    <n v="1"/>
    <n v="98282"/>
    <x v="3"/>
    <n v="796"/>
    <s v="Own"/>
    <n v="2"/>
    <n v="3701"/>
    <x v="3"/>
    <x v="5"/>
    <x v="181"/>
    <n v="60"/>
    <n v="8.91"/>
    <n v="157.43"/>
    <n v="47.1"/>
    <x v="0"/>
    <s v="Current"/>
    <n v="0"/>
    <x v="0"/>
    <n v="3385.7999999999997"/>
    <n v="0"/>
  </r>
  <r>
    <s v="LN-00237"/>
    <s v="BRW-0195"/>
    <d v="2024-07-30T00:00:00"/>
    <n v="55"/>
    <s v="WI"/>
    <s v="Bachelor"/>
    <x v="3"/>
    <n v="20"/>
    <n v="40418"/>
    <x v="2"/>
    <n v="697"/>
    <s v="Own"/>
    <n v="2"/>
    <n v="672"/>
    <x v="4"/>
    <x v="3"/>
    <x v="182"/>
    <n v="24"/>
    <n v="10.54"/>
    <n v="644.88"/>
    <n v="39.1"/>
    <x v="1"/>
    <s v="Late"/>
    <n v="30"/>
    <x v="0"/>
    <n v="2930.12"/>
    <n v="0"/>
  </r>
  <r>
    <s v="LN-00238"/>
    <s v="BRW-0196"/>
    <d v="2024-09-25T00:00:00"/>
    <n v="43"/>
    <s v="CA"/>
    <s v="Bachelor"/>
    <x v="1"/>
    <n v="9"/>
    <n v="71852"/>
    <x v="0"/>
    <n v="823"/>
    <s v="Mortgage"/>
    <n v="1"/>
    <n v="2316"/>
    <x v="3"/>
    <x v="1"/>
    <x v="183"/>
    <n v="12"/>
    <n v="7.73"/>
    <n v="2588.54"/>
    <n v="81.900000000000006"/>
    <x v="2"/>
    <s v="Current"/>
    <n v="0"/>
    <x v="0"/>
    <n v="2303.5400000000004"/>
    <n v="0"/>
  </r>
  <r>
    <s v="LN-00239"/>
    <s v="BRW-0197"/>
    <d v="2025-02-11T00:00:00"/>
    <n v="48"/>
    <s v="NC"/>
    <s v="Bachelor"/>
    <x v="0"/>
    <n v="0"/>
    <n v="86875"/>
    <x v="3"/>
    <n v="850"/>
    <s v="Mortgage"/>
    <n v="4"/>
    <n v="3195"/>
    <x v="3"/>
    <x v="0"/>
    <x v="18"/>
    <n v="36"/>
    <n v="10.71"/>
    <n v="570.53"/>
    <n v="52"/>
    <x v="0"/>
    <s v="Paid Off"/>
    <n v="0"/>
    <x v="0"/>
    <n v="5622.7500000000009"/>
    <n v="0"/>
  </r>
  <r>
    <s v="LN-00240"/>
    <s v="BRW-0198"/>
    <d v="2024-08-28T00:00:00"/>
    <n v="59"/>
    <s v="WI"/>
    <s v="Bachelor"/>
    <x v="0"/>
    <n v="33"/>
    <n v="77828"/>
    <x v="2"/>
    <n v="622"/>
    <s v="Mortgage"/>
    <n v="2"/>
    <n v="1557"/>
    <x v="1"/>
    <x v="3"/>
    <x v="145"/>
    <n v="12"/>
    <n v="11.3"/>
    <n v="1566.83"/>
    <n v="48.2"/>
    <x v="0"/>
    <s v="Late"/>
    <n v="0"/>
    <x v="0"/>
    <n v="2000.1000000000001"/>
    <n v="0"/>
  </r>
  <r>
    <s v="LN-00241"/>
    <s v="BRW-0199"/>
    <d v="2025-01-25T00:00:00"/>
    <n v="65"/>
    <s v="AZ"/>
    <s v="Associate"/>
    <x v="3"/>
    <n v="1"/>
    <n v="33970"/>
    <x v="3"/>
    <n v="622"/>
    <s v="Mortgage"/>
    <n v="0"/>
    <n v="1118"/>
    <x v="1"/>
    <x v="9"/>
    <x v="184"/>
    <n v="12"/>
    <n v="10.9"/>
    <n v="2835.55"/>
    <n v="139.69999999999999"/>
    <x v="2"/>
    <s v="Default"/>
    <n v="131"/>
    <x v="1"/>
    <n v="0"/>
    <n v="32100"/>
  </r>
  <r>
    <s v="LN-00242"/>
    <s v="BRW-0200"/>
    <d v="2024-06-22T00:00:00"/>
    <n v="48"/>
    <s v="OH"/>
    <s v="Bachelor"/>
    <x v="3"/>
    <n v="22"/>
    <n v="38878"/>
    <x v="2"/>
    <n v="556"/>
    <s v="Own"/>
    <n v="2"/>
    <n v="1778"/>
    <x v="0"/>
    <x v="5"/>
    <x v="41"/>
    <n v="60"/>
    <n v="11.63"/>
    <n v="637.47"/>
    <n v="74.599999999999994"/>
    <x v="2"/>
    <s v="Default"/>
    <n v="116"/>
    <x v="1"/>
    <n v="0"/>
    <n v="28900"/>
  </r>
  <r>
    <s v="LN-00243"/>
    <s v="BRW-0201"/>
    <d v="2024-04-29T00:00:00"/>
    <n v="52"/>
    <s v="MN"/>
    <s v="Bachelor"/>
    <x v="1"/>
    <n v="21"/>
    <n v="51649"/>
    <x v="2"/>
    <n v="802"/>
    <s v="Mortgage"/>
    <n v="2"/>
    <n v="1766"/>
    <x v="3"/>
    <x v="5"/>
    <x v="83"/>
    <n v="48"/>
    <n v="7.34"/>
    <n v="373.62"/>
    <n v="49.7"/>
    <x v="0"/>
    <s v="Late"/>
    <n v="30"/>
    <x v="0"/>
    <n v="4550.7999999999993"/>
    <n v="0"/>
  </r>
  <r>
    <s v="LN-00244"/>
    <s v="BRW-0201"/>
    <d v="2024-09-26T00:00:00"/>
    <n v="52"/>
    <s v="MN"/>
    <s v="Bachelor"/>
    <x v="1"/>
    <n v="21"/>
    <n v="51649"/>
    <x v="2"/>
    <n v="802"/>
    <s v="Mortgage"/>
    <n v="2"/>
    <n v="1766"/>
    <x v="3"/>
    <x v="3"/>
    <x v="36"/>
    <n v="36"/>
    <n v="11.15"/>
    <n v="1525.66"/>
    <n v="76.5"/>
    <x v="2"/>
    <s v="Current"/>
    <n v="0"/>
    <x v="0"/>
    <n v="15554.25"/>
    <n v="0"/>
  </r>
  <r>
    <s v="LN-00245"/>
    <s v="BRW-0202"/>
    <d v="2025-03-26T00:00:00"/>
    <n v="63"/>
    <s v="GA"/>
    <s v="Master"/>
    <x v="1"/>
    <n v="17"/>
    <n v="96142"/>
    <x v="2"/>
    <n v="666"/>
    <s v="Mortgage"/>
    <n v="3"/>
    <n v="4335"/>
    <x v="4"/>
    <x v="5"/>
    <x v="185"/>
    <n v="24"/>
    <n v="11.68"/>
    <n v="2332.13"/>
    <n v="83.2"/>
    <x v="2"/>
    <s v="Default"/>
    <n v="68"/>
    <x v="1"/>
    <n v="0"/>
    <n v="49700"/>
  </r>
  <r>
    <s v="LN-00246"/>
    <s v="BRW-0203"/>
    <d v="2025-05-21T00:00:00"/>
    <n v="40"/>
    <s v="UT"/>
    <s v="Master"/>
    <x v="0"/>
    <n v="11"/>
    <n v="96556"/>
    <x v="2"/>
    <n v="785"/>
    <s v="Mortgage"/>
    <n v="2"/>
    <n v="1502"/>
    <x v="3"/>
    <x v="5"/>
    <x v="186"/>
    <n v="48"/>
    <n v="9.1"/>
    <n v="251.82"/>
    <n v="21.8"/>
    <x v="4"/>
    <s v="Default"/>
    <n v="121"/>
    <x v="1"/>
    <n v="0"/>
    <n v="10100"/>
  </r>
  <r>
    <s v="LN-00247"/>
    <s v="BRW-0204"/>
    <d v="2024-04-05T00:00:00"/>
    <n v="29"/>
    <s v="KY"/>
    <s v="Bachelor"/>
    <x v="1"/>
    <n v="5"/>
    <n v="97749"/>
    <x v="1"/>
    <n v="742"/>
    <s v="Rent"/>
    <n v="0"/>
    <n v="578"/>
    <x v="2"/>
    <x v="2"/>
    <x v="187"/>
    <n v="24"/>
    <n v="8.25"/>
    <n v="1165.27"/>
    <n v="21.4"/>
    <x v="4"/>
    <s v="Paid Off"/>
    <n v="0"/>
    <x v="0"/>
    <n v="4240.5"/>
    <n v="0"/>
  </r>
  <r>
    <s v="LN-00248"/>
    <s v="BRW-0204"/>
    <d v="2024-01-05T00:00:00"/>
    <n v="29"/>
    <s v="KY"/>
    <s v="Bachelor"/>
    <x v="1"/>
    <n v="5"/>
    <n v="97749"/>
    <x v="1"/>
    <n v="742"/>
    <s v="Rent"/>
    <n v="0"/>
    <n v="578"/>
    <x v="2"/>
    <x v="2"/>
    <x v="63"/>
    <n v="60"/>
    <n v="8.6999999999999993"/>
    <n v="597.78"/>
    <n v="14.4"/>
    <x v="3"/>
    <s v="Current"/>
    <n v="0"/>
    <x v="0"/>
    <n v="12615"/>
    <n v="0"/>
  </r>
  <r>
    <s v="LN-00249"/>
    <s v="BRW-0205"/>
    <d v="2024-05-04T00:00:00"/>
    <n v="67"/>
    <s v="MO"/>
    <s v="High School"/>
    <x v="4"/>
    <n v="13"/>
    <n v="27294"/>
    <x v="2"/>
    <n v="770"/>
    <s v="Own"/>
    <n v="0"/>
    <n v="752"/>
    <x v="3"/>
    <x v="0"/>
    <x v="82"/>
    <n v="12"/>
    <n v="8.59"/>
    <n v="2373.5100000000002"/>
    <n v="137.4"/>
    <x v="2"/>
    <s v="Paid Off"/>
    <n v="0"/>
    <x v="0"/>
    <n v="2336.48"/>
    <n v="0"/>
  </r>
  <r>
    <s v="LN-00250"/>
    <s v="BRW-0206"/>
    <d v="2024-10-02T00:00:00"/>
    <n v="39"/>
    <s v="IN"/>
    <s v="High School"/>
    <x v="3"/>
    <n v="1"/>
    <n v="23680"/>
    <x v="3"/>
    <n v="649"/>
    <s v="Rent"/>
    <n v="0"/>
    <n v="328"/>
    <x v="1"/>
    <x v="5"/>
    <x v="71"/>
    <n v="48"/>
    <n v="11.45"/>
    <n v="122.5"/>
    <n v="22.8"/>
    <x v="4"/>
    <s v="Paid Off"/>
    <n v="0"/>
    <x v="0"/>
    <n v="2152.6"/>
    <n v="0"/>
  </r>
  <r>
    <s v="LN-00251"/>
    <s v="BRW-0206"/>
    <d v="2024-02-19T00:00:00"/>
    <n v="39"/>
    <s v="IN"/>
    <s v="High School"/>
    <x v="3"/>
    <n v="1"/>
    <n v="23680"/>
    <x v="3"/>
    <n v="649"/>
    <s v="Rent"/>
    <n v="0"/>
    <n v="328"/>
    <x v="1"/>
    <x v="9"/>
    <x v="30"/>
    <n v="60"/>
    <n v="9.83"/>
    <n v="262.43"/>
    <n v="29.9"/>
    <x v="4"/>
    <s v="Paid Off"/>
    <n v="0"/>
    <x v="0"/>
    <n v="6094.6"/>
    <n v="0"/>
  </r>
  <r>
    <s v="LN-00252"/>
    <s v="BRW-0207"/>
    <d v="2024-09-02T00:00:00"/>
    <n v="28"/>
    <s v="UT"/>
    <s v="Bachelor"/>
    <x v="0"/>
    <n v="0"/>
    <n v="47014"/>
    <x v="3"/>
    <n v="600"/>
    <s v="Rent"/>
    <n v="0"/>
    <n v="1474"/>
    <x v="1"/>
    <x v="2"/>
    <x v="188"/>
    <n v="48"/>
    <n v="11.28"/>
    <n v="527.42999999999995"/>
    <n v="51.1"/>
    <x v="0"/>
    <s v="Late"/>
    <n v="15"/>
    <x v="0"/>
    <n v="9159.36"/>
    <n v="0"/>
  </r>
  <r>
    <s v="LN-00253"/>
    <s v="BRW-0208"/>
    <d v="2025-05-17T00:00:00"/>
    <n v="52"/>
    <s v="UT"/>
    <s v="Bachelor"/>
    <x v="1"/>
    <n v="18"/>
    <n v="102097"/>
    <x v="2"/>
    <n v="709"/>
    <s v="Mortgage"/>
    <n v="2"/>
    <n v="3200"/>
    <x v="2"/>
    <x v="5"/>
    <x v="189"/>
    <n v="24"/>
    <n v="8.7899999999999991"/>
    <n v="971.03"/>
    <n v="49"/>
    <x v="0"/>
    <s v="Paid Off"/>
    <n v="0"/>
    <x v="0"/>
    <n v="3744.5399999999995"/>
    <n v="0"/>
  </r>
  <r>
    <s v="LN-00254"/>
    <s v="BRW-0208"/>
    <d v="2025-05-16T00:00:00"/>
    <n v="52"/>
    <s v="UT"/>
    <s v="Bachelor"/>
    <x v="1"/>
    <n v="18"/>
    <n v="102097"/>
    <x v="2"/>
    <n v="709"/>
    <s v="Mortgage"/>
    <n v="2"/>
    <n v="3200"/>
    <x v="2"/>
    <x v="9"/>
    <x v="81"/>
    <n v="36"/>
    <n v="10.75"/>
    <n v="1037.33"/>
    <n v="49.8"/>
    <x v="0"/>
    <s v="Current"/>
    <n v="0"/>
    <x v="0"/>
    <n v="10255.5"/>
    <n v="0"/>
  </r>
  <r>
    <s v="LN-00255"/>
    <s v="BRW-0209"/>
    <d v="2025-03-12T00:00:00"/>
    <n v="36"/>
    <s v="PA"/>
    <s v="Bachelor"/>
    <x v="0"/>
    <n v="13"/>
    <n v="100359"/>
    <x v="2"/>
    <n v="634"/>
    <s v="Rent"/>
    <n v="3"/>
    <n v="570"/>
    <x v="1"/>
    <x v="6"/>
    <x v="190"/>
    <n v="60"/>
    <n v="10.37"/>
    <n v="876.47"/>
    <n v="17.3"/>
    <x v="3"/>
    <s v="Default"/>
    <n v="161"/>
    <x v="1"/>
    <n v="0"/>
    <n v="40900"/>
  </r>
  <r>
    <s v="LN-00256"/>
    <s v="BRW-0210"/>
    <d v="2025-06-23T00:00:00"/>
    <n v="47"/>
    <s v="MD"/>
    <s v="Master"/>
    <x v="1"/>
    <n v="1"/>
    <n v="118864"/>
    <x v="3"/>
    <n v="693"/>
    <s v="Own"/>
    <n v="2"/>
    <n v="5093"/>
    <x v="4"/>
    <x v="0"/>
    <x v="191"/>
    <n v="24"/>
    <n v="13.1"/>
    <n v="1575.19"/>
    <n v="67.3"/>
    <x v="2"/>
    <s v="Current"/>
    <n v="0"/>
    <x v="0"/>
    <n v="8672.2000000000007"/>
    <n v="0"/>
  </r>
  <r>
    <s v="LN-00257"/>
    <s v="BRW-0211"/>
    <d v="2025-06-19T00:00:00"/>
    <n v="43"/>
    <s v="MA"/>
    <s v="Associate"/>
    <x v="4"/>
    <n v="4"/>
    <n v="32700"/>
    <x v="1"/>
    <n v="777"/>
    <s v="Rent"/>
    <n v="0"/>
    <n v="1238"/>
    <x v="3"/>
    <x v="0"/>
    <x v="189"/>
    <n v="36"/>
    <n v="11.26"/>
    <n v="699.96"/>
    <n v="71.099999999999994"/>
    <x v="2"/>
    <s v="Current"/>
    <n v="0"/>
    <x v="0"/>
    <n v="7195.1399999999994"/>
    <n v="0"/>
  </r>
  <r>
    <s v="LN-00258"/>
    <s v="BRW-0212"/>
    <d v="2024-09-16T00:00:00"/>
    <n v="43"/>
    <s v="KY"/>
    <s v="High School"/>
    <x v="1"/>
    <n v="0"/>
    <n v="31455"/>
    <x v="3"/>
    <n v="620"/>
    <s v="Rent"/>
    <n v="0"/>
    <n v="1014"/>
    <x v="1"/>
    <x v="2"/>
    <x v="192"/>
    <n v="12"/>
    <n v="11.99"/>
    <n v="613.02"/>
    <n v="62.1"/>
    <x v="2"/>
    <s v="Default"/>
    <n v="179"/>
    <x v="1"/>
    <n v="0"/>
    <n v="6900"/>
  </r>
  <r>
    <s v="LN-00259"/>
    <s v="BRW-0212"/>
    <d v="2024-07-05T00:00:00"/>
    <n v="43"/>
    <s v="KY"/>
    <s v="High School"/>
    <x v="1"/>
    <n v="0"/>
    <n v="31455"/>
    <x v="3"/>
    <n v="620"/>
    <s v="Rent"/>
    <n v="0"/>
    <n v="1014"/>
    <x v="1"/>
    <x v="6"/>
    <x v="142"/>
    <n v="48"/>
    <n v="10.56"/>
    <n v="66.64"/>
    <n v="41.2"/>
    <x v="1"/>
    <s v="Current"/>
    <n v="0"/>
    <x v="0"/>
    <n v="1098.24"/>
    <n v="0"/>
  </r>
  <r>
    <s v="LN-00260"/>
    <s v="BRW-0213"/>
    <d v="2024-09-28T00:00:00"/>
    <n v="34"/>
    <s v="WA"/>
    <s v="High School"/>
    <x v="2"/>
    <n v="8"/>
    <n v="53975"/>
    <x v="0"/>
    <n v="748"/>
    <s v="Mortgage"/>
    <n v="2"/>
    <n v="640"/>
    <x v="2"/>
    <x v="4"/>
    <x v="193"/>
    <n v="48"/>
    <n v="10.65"/>
    <n v="611.09"/>
    <n v="27.8"/>
    <x v="4"/>
    <s v="Late"/>
    <n v="15"/>
    <x v="0"/>
    <n v="10138.799999999999"/>
    <n v="0"/>
  </r>
  <r>
    <s v="LN-00261"/>
    <s v="BRW-0214"/>
    <d v="2024-01-19T00:00:00"/>
    <n v="30"/>
    <s v="NC"/>
    <s v="Bachelor"/>
    <x v="4"/>
    <n v="3"/>
    <n v="24621"/>
    <x v="1"/>
    <n v="721"/>
    <s v="Mortgage"/>
    <n v="4"/>
    <n v="412"/>
    <x v="2"/>
    <x v="6"/>
    <x v="194"/>
    <n v="12"/>
    <n v="10.15"/>
    <n v="1636.53"/>
    <n v="99.8"/>
    <x v="2"/>
    <s v="Default"/>
    <n v="59"/>
    <x v="1"/>
    <n v="0"/>
    <n v="18600"/>
  </r>
  <r>
    <s v="LN-00262"/>
    <s v="BRW-0215"/>
    <d v="2024-11-06T00:00:00"/>
    <n v="68"/>
    <s v="MA"/>
    <s v="Bachelor"/>
    <x v="1"/>
    <n v="3"/>
    <n v="63539"/>
    <x v="1"/>
    <n v="655"/>
    <s v="Rent"/>
    <n v="1"/>
    <n v="1338"/>
    <x v="4"/>
    <x v="0"/>
    <x v="157"/>
    <n v="60"/>
    <n v="12.71"/>
    <n v="483.74"/>
    <n v="34.4"/>
    <x v="4"/>
    <s v="Late"/>
    <n v="30"/>
    <x v="0"/>
    <n v="13599.700000000003"/>
    <n v="0"/>
  </r>
  <r>
    <s v="LN-00263"/>
    <s v="BRW-0216"/>
    <d v="2024-04-24T00:00:00"/>
    <n v="54"/>
    <s v="GA"/>
    <s v="Master"/>
    <x v="2"/>
    <n v="18"/>
    <n v="120652"/>
    <x v="2"/>
    <n v="610"/>
    <s v="Mortgage"/>
    <n v="0"/>
    <n v="1174"/>
    <x v="1"/>
    <x v="1"/>
    <x v="195"/>
    <n v="24"/>
    <n v="9.9"/>
    <n v="285.81"/>
    <n v="14.5"/>
    <x v="3"/>
    <s v="Current"/>
    <n v="0"/>
    <x v="0"/>
    <n v="1227.6000000000001"/>
    <n v="0"/>
  </r>
  <r>
    <s v="LN-00264"/>
    <s v="BRW-0217"/>
    <d v="2024-07-14T00:00:00"/>
    <n v="31"/>
    <s v="KY"/>
    <s v="Bachelor"/>
    <x v="4"/>
    <n v="7"/>
    <n v="38662"/>
    <x v="0"/>
    <n v="806"/>
    <s v="Rent"/>
    <n v="2"/>
    <n v="512"/>
    <x v="3"/>
    <x v="0"/>
    <x v="196"/>
    <n v="48"/>
    <n v="10.78"/>
    <n v="715.54"/>
    <n v="38.1"/>
    <x v="1"/>
    <s v="Current"/>
    <n v="0"/>
    <x v="0"/>
    <n v="11987.359999999999"/>
    <n v="0"/>
  </r>
  <r>
    <s v="LN-00265"/>
    <s v="BRW-0218"/>
    <d v="2025-04-27T00:00:00"/>
    <n v="37"/>
    <s v="VA"/>
    <s v="Bachelor"/>
    <x v="3"/>
    <n v="14"/>
    <n v="49958"/>
    <x v="2"/>
    <n v="799"/>
    <s v="Mortgage"/>
    <n v="0"/>
    <n v="1382"/>
    <x v="3"/>
    <x v="6"/>
    <x v="34"/>
    <n v="48"/>
    <n v="11.5"/>
    <n v="143.49"/>
    <n v="36.6"/>
    <x v="1"/>
    <s v="Default"/>
    <n v="145"/>
    <x v="1"/>
    <n v="0"/>
    <n v="5500"/>
  </r>
  <r>
    <s v="LN-00266"/>
    <s v="BRW-0219"/>
    <d v="2024-01-09T00:00:00"/>
    <n v="25"/>
    <s v="OK"/>
    <s v="Master"/>
    <x v="2"/>
    <n v="1"/>
    <n v="71945"/>
    <x v="3"/>
    <n v="809"/>
    <s v="Own"/>
    <n v="1"/>
    <n v="648"/>
    <x v="3"/>
    <x v="7"/>
    <x v="197"/>
    <n v="48"/>
    <n v="6.77"/>
    <n v="939.28"/>
    <n v="26.5"/>
    <x v="4"/>
    <s v="Default"/>
    <n v="140"/>
    <x v="1"/>
    <n v="0"/>
    <n v="39400"/>
  </r>
  <r>
    <s v="LN-00267"/>
    <s v="BRW-0220"/>
    <d v="2024-02-07T00:00:00"/>
    <n v="35"/>
    <s v="IN"/>
    <s v="Master"/>
    <x v="1"/>
    <n v="1"/>
    <n v="131724"/>
    <x v="3"/>
    <n v="778"/>
    <s v="Mortgage"/>
    <n v="1"/>
    <n v="3643"/>
    <x v="3"/>
    <x v="0"/>
    <x v="198"/>
    <n v="60"/>
    <n v="12.03"/>
    <n v="681.14"/>
    <n v="39.4"/>
    <x v="1"/>
    <s v="Current"/>
    <n v="0"/>
    <x v="0"/>
    <n v="18405.899999999998"/>
    <n v="0"/>
  </r>
  <r>
    <s v="LN-00268"/>
    <s v="BRW-0220"/>
    <d v="2024-03-03T00:00:00"/>
    <n v="35"/>
    <s v="IN"/>
    <s v="Master"/>
    <x v="1"/>
    <n v="1"/>
    <n v="131724"/>
    <x v="3"/>
    <n v="778"/>
    <s v="Mortgage"/>
    <n v="1"/>
    <n v="3643"/>
    <x v="3"/>
    <x v="9"/>
    <x v="87"/>
    <n v="48"/>
    <n v="8.19"/>
    <n v="1112.4000000000001"/>
    <n v="43.3"/>
    <x v="1"/>
    <s v="Current"/>
    <n v="0"/>
    <x v="0"/>
    <n v="14873.04"/>
    <n v="0"/>
  </r>
  <r>
    <s v="LN-00269"/>
    <s v="BRW-0221"/>
    <d v="2024-12-21T00:00:00"/>
    <n v="57"/>
    <s v="AL"/>
    <s v="Bachelor"/>
    <x v="2"/>
    <n v="16"/>
    <n v="86745"/>
    <x v="2"/>
    <n v="742"/>
    <s v="Rent"/>
    <n v="0"/>
    <n v="625"/>
    <x v="2"/>
    <x v="1"/>
    <x v="181"/>
    <n v="60"/>
    <n v="12.33"/>
    <n v="170.33"/>
    <n v="11"/>
    <x v="3"/>
    <s v="Current"/>
    <n v="0"/>
    <x v="0"/>
    <n v="4685.4000000000005"/>
    <n v="0"/>
  </r>
  <r>
    <s v="LN-00270"/>
    <s v="BRW-0222"/>
    <d v="2024-12-13T00:00:00"/>
    <n v="49"/>
    <s v="MI"/>
    <s v="Associate"/>
    <x v="1"/>
    <n v="29"/>
    <n v="75328"/>
    <x v="2"/>
    <n v="570"/>
    <s v="Mortgage"/>
    <n v="1"/>
    <n v="2727"/>
    <x v="0"/>
    <x v="0"/>
    <x v="199"/>
    <n v="24"/>
    <n v="13.44"/>
    <n v="625.51"/>
    <n v="53.4"/>
    <x v="0"/>
    <s v="Late"/>
    <n v="15"/>
    <x v="0"/>
    <n v="3521.2799999999997"/>
    <n v="0"/>
  </r>
  <r>
    <s v="LN-00271"/>
    <s v="BRW-0223"/>
    <d v="2025-01-03T00:00:00"/>
    <n v="63"/>
    <s v="UT"/>
    <s v="Doctorate"/>
    <x v="3"/>
    <n v="28"/>
    <n v="60734"/>
    <x v="2"/>
    <n v="730"/>
    <s v="Rent"/>
    <n v="1"/>
    <n v="456"/>
    <x v="2"/>
    <x v="3"/>
    <x v="200"/>
    <n v="48"/>
    <n v="12"/>
    <n v="545.11"/>
    <n v="19.8"/>
    <x v="3"/>
    <s v="Paid Off"/>
    <n v="0"/>
    <x v="0"/>
    <n v="9936"/>
    <n v="0"/>
  </r>
  <r>
    <s v="LN-00272"/>
    <s v="BRW-0224"/>
    <d v="2024-07-23T00:00:00"/>
    <n v="64"/>
    <s v="WA"/>
    <s v="Master"/>
    <x v="1"/>
    <n v="11"/>
    <n v="128412"/>
    <x v="2"/>
    <n v="610"/>
    <s v="Rent"/>
    <n v="1"/>
    <n v="4429"/>
    <x v="1"/>
    <x v="3"/>
    <x v="201"/>
    <n v="48"/>
    <n v="10.48"/>
    <n v="156.12"/>
    <n v="42.8"/>
    <x v="1"/>
    <s v="Default"/>
    <n v="155"/>
    <x v="1"/>
    <n v="0"/>
    <n v="6100"/>
  </r>
  <r>
    <s v="LN-00273"/>
    <s v="BRW-0225"/>
    <d v="2024-02-18T00:00:00"/>
    <n v="36"/>
    <s v="OR"/>
    <s v="Master"/>
    <x v="0"/>
    <n v="13"/>
    <n v="138554"/>
    <x v="2"/>
    <n v="787"/>
    <s v="Mortgage"/>
    <n v="0"/>
    <n v="3236"/>
    <x v="3"/>
    <x v="1"/>
    <x v="187"/>
    <n v="24"/>
    <n v="7.93"/>
    <n v="1161.52"/>
    <n v="38.1"/>
    <x v="1"/>
    <s v="Current"/>
    <n v="0"/>
    <x v="0"/>
    <n v="4076.02"/>
    <n v="0"/>
  </r>
  <r>
    <s v="LN-00274"/>
    <s v="BRW-0226"/>
    <d v="2024-12-11T00:00:00"/>
    <n v="31"/>
    <s v="AZ"/>
    <s v="Associate"/>
    <x v="4"/>
    <n v="0"/>
    <n v="37737"/>
    <x v="3"/>
    <n v="582"/>
    <s v="Rent"/>
    <n v="2"/>
    <n v="1629"/>
    <x v="0"/>
    <x v="5"/>
    <x v="202"/>
    <n v="12"/>
    <n v="14.33"/>
    <n v="3948.47"/>
    <n v="177.4"/>
    <x v="2"/>
    <s v="Default"/>
    <n v="88"/>
    <x v="1"/>
    <n v="0"/>
    <n v="43900"/>
  </r>
  <r>
    <s v="LN-00275"/>
    <s v="BRW-0227"/>
    <d v="2024-09-30T00:00:00"/>
    <n v="23"/>
    <s v="TX"/>
    <s v="Associate"/>
    <x v="1"/>
    <n v="0"/>
    <n v="56840"/>
    <x v="3"/>
    <n v="758"/>
    <s v="Own"/>
    <n v="1"/>
    <n v="791"/>
    <x v="3"/>
    <x v="7"/>
    <x v="185"/>
    <n v="36"/>
    <n v="11.21"/>
    <n v="1632.06"/>
    <n v="51.2"/>
    <x v="0"/>
    <s v="Late"/>
    <n v="15"/>
    <x v="0"/>
    <n v="16714.11"/>
    <n v="0"/>
  </r>
  <r>
    <s v="LN-00276"/>
    <s v="BRW-0228"/>
    <d v="2024-04-23T00:00:00"/>
    <n v="35"/>
    <s v="AL"/>
    <s v="Master"/>
    <x v="0"/>
    <n v="7"/>
    <n v="66623"/>
    <x v="0"/>
    <n v="683"/>
    <s v="Rent"/>
    <n v="2"/>
    <n v="1880"/>
    <x v="4"/>
    <x v="6"/>
    <x v="36"/>
    <n v="48"/>
    <n v="12.61"/>
    <n v="1238.5"/>
    <n v="56.2"/>
    <x v="0"/>
    <s v="Late"/>
    <n v="0"/>
    <x v="0"/>
    <n v="23454.6"/>
    <n v="0"/>
  </r>
  <r>
    <s v="LN-00277"/>
    <s v="BRW-0229"/>
    <d v="2024-04-30T00:00:00"/>
    <n v="65"/>
    <s v="NC"/>
    <s v="Master"/>
    <x v="1"/>
    <n v="14"/>
    <n v="129782"/>
    <x v="2"/>
    <n v="816"/>
    <s v="Mortgage"/>
    <n v="0"/>
    <n v="5669"/>
    <x v="3"/>
    <x v="6"/>
    <x v="52"/>
    <n v="12"/>
    <n v="7.24"/>
    <n v="346.55"/>
    <n v="55.6"/>
    <x v="0"/>
    <s v="Late"/>
    <n v="15"/>
    <x v="0"/>
    <n v="289.60000000000002"/>
    <n v="0"/>
  </r>
  <r>
    <s v="LN-00278"/>
    <s v="BRW-0229"/>
    <d v="2024-04-11T00:00:00"/>
    <n v="65"/>
    <s v="NC"/>
    <s v="Master"/>
    <x v="1"/>
    <n v="14"/>
    <n v="129782"/>
    <x v="2"/>
    <n v="816"/>
    <s v="Mortgage"/>
    <n v="0"/>
    <n v="5669"/>
    <x v="3"/>
    <x v="3"/>
    <x v="115"/>
    <n v="48"/>
    <n v="10.06"/>
    <n v="980.11"/>
    <n v="61.5"/>
    <x v="2"/>
    <s v="Default"/>
    <n v="123"/>
    <x v="1"/>
    <n v="0"/>
    <n v="38600"/>
  </r>
  <r>
    <s v="LN-00279"/>
    <s v="BRW-0230"/>
    <d v="2024-01-07T00:00:00"/>
    <n v="33"/>
    <s v="KY"/>
    <s v="Bachelor"/>
    <x v="1"/>
    <n v="10"/>
    <n v="72220"/>
    <x v="0"/>
    <n v="711"/>
    <s v="Rent"/>
    <n v="1"/>
    <n v="2396"/>
    <x v="2"/>
    <x v="5"/>
    <x v="203"/>
    <n v="48"/>
    <n v="12"/>
    <n v="213.3"/>
    <n v="43.4"/>
    <x v="1"/>
    <s v="Current"/>
    <n v="0"/>
    <x v="0"/>
    <n v="3888"/>
    <n v="0"/>
  </r>
  <r>
    <s v="LN-00280"/>
    <s v="BRW-0231"/>
    <d v="2024-09-08T00:00:00"/>
    <n v="48"/>
    <s v="MI"/>
    <s v="High School"/>
    <x v="1"/>
    <n v="7"/>
    <n v="48955"/>
    <x v="0"/>
    <n v="772"/>
    <s v="Rent"/>
    <n v="3"/>
    <n v="498"/>
    <x v="3"/>
    <x v="6"/>
    <x v="204"/>
    <n v="48"/>
    <n v="8.94"/>
    <n v="554.29999999999995"/>
    <n v="25.8"/>
    <x v="4"/>
    <s v="Current"/>
    <n v="0"/>
    <x v="0"/>
    <n v="7974.48"/>
    <n v="0"/>
  </r>
  <r>
    <s v="LN-00281"/>
    <s v="BRW-0232"/>
    <d v="2025-06-12T00:00:00"/>
    <n v="51"/>
    <s v="NC"/>
    <s v="Master"/>
    <x v="3"/>
    <n v="8"/>
    <n v="75699"/>
    <x v="0"/>
    <n v="820"/>
    <s v="Mortgage"/>
    <n v="0"/>
    <n v="2355"/>
    <x v="3"/>
    <x v="1"/>
    <x v="205"/>
    <n v="48"/>
    <n v="11.09"/>
    <n v="559.21"/>
    <n v="46.2"/>
    <x v="0"/>
    <s v="Current"/>
    <n v="0"/>
    <x v="0"/>
    <n v="9581.76"/>
    <n v="0"/>
  </r>
  <r>
    <s v="LN-00282"/>
    <s v="BRW-0233"/>
    <d v="2024-11-18T00:00:00"/>
    <n v="50"/>
    <s v="MN"/>
    <s v="Master"/>
    <x v="1"/>
    <n v="1"/>
    <n v="116769"/>
    <x v="3"/>
    <n v="642"/>
    <s v="Mortgage"/>
    <n v="2"/>
    <n v="678"/>
    <x v="1"/>
    <x v="8"/>
    <x v="206"/>
    <n v="12"/>
    <n v="9.7200000000000006"/>
    <n v="2352.66"/>
    <n v="31.1"/>
    <x v="4"/>
    <s v="Current"/>
    <n v="0"/>
    <x v="0"/>
    <n v="2604.96"/>
    <n v="0"/>
  </r>
  <r>
    <s v="LN-00283"/>
    <s v="BRW-0234"/>
    <d v="2025-06-16T00:00:00"/>
    <n v="26"/>
    <s v="OK"/>
    <s v="High School"/>
    <x v="0"/>
    <n v="1"/>
    <n v="47895"/>
    <x v="3"/>
    <n v="816"/>
    <s v="Mortgage"/>
    <n v="3"/>
    <n v="804"/>
    <x v="3"/>
    <x v="8"/>
    <x v="207"/>
    <n v="60"/>
    <n v="6.69"/>
    <n v="644.69000000000005"/>
    <n v="36.299999999999997"/>
    <x v="1"/>
    <s v="Paid Off"/>
    <n v="0"/>
    <x v="0"/>
    <n v="10971.6"/>
    <n v="0"/>
  </r>
  <r>
    <s v="LN-00284"/>
    <s v="BRW-0235"/>
    <d v="2024-10-13T00:00:00"/>
    <n v="22"/>
    <s v="SC"/>
    <s v="Associate"/>
    <x v="1"/>
    <n v="0"/>
    <n v="63656"/>
    <x v="3"/>
    <n v="780"/>
    <s v="Rent"/>
    <n v="0"/>
    <n v="2692"/>
    <x v="3"/>
    <x v="3"/>
    <x v="208"/>
    <n v="36"/>
    <n v="7.04"/>
    <n v="528.30999999999995"/>
    <n v="60.7"/>
    <x v="2"/>
    <s v="Current"/>
    <n v="0"/>
    <x v="0"/>
    <n v="3611.5200000000004"/>
    <n v="0"/>
  </r>
  <r>
    <s v="LN-00285"/>
    <s v="BRW-0236"/>
    <d v="2024-12-19T00:00:00"/>
    <n v="57"/>
    <s v="IN"/>
    <s v="Associate"/>
    <x v="1"/>
    <n v="19"/>
    <n v="50940"/>
    <x v="2"/>
    <n v="713"/>
    <s v="Mortgage"/>
    <n v="3"/>
    <n v="1201"/>
    <x v="2"/>
    <x v="7"/>
    <x v="209"/>
    <n v="60"/>
    <n v="11.38"/>
    <n v="701.84"/>
    <n v="44.8"/>
    <x v="1"/>
    <s v="Current"/>
    <n v="0"/>
    <x v="0"/>
    <n v="18208"/>
    <n v="0"/>
  </r>
  <r>
    <s v="LN-00286"/>
    <s v="BRW-0237"/>
    <d v="2024-05-09T00:00:00"/>
    <n v="68"/>
    <s v="MD"/>
    <s v="Bachelor"/>
    <x v="2"/>
    <n v="20"/>
    <n v="98934"/>
    <x v="2"/>
    <n v="729"/>
    <s v="Mortgage"/>
    <n v="3"/>
    <n v="3467"/>
    <x v="2"/>
    <x v="3"/>
    <x v="204"/>
    <n v="48"/>
    <n v="11.48"/>
    <n v="581.57000000000005"/>
    <n v="49.1"/>
    <x v="0"/>
    <s v="Current"/>
    <n v="0"/>
    <x v="0"/>
    <n v="10240.16"/>
    <n v="0"/>
  </r>
  <r>
    <s v="LN-00287"/>
    <s v="BRW-0238"/>
    <d v="2024-09-21T00:00:00"/>
    <n v="23"/>
    <s v="NJ"/>
    <s v="Associate"/>
    <x v="4"/>
    <n v="2"/>
    <n v="33693"/>
    <x v="1"/>
    <n v="738"/>
    <s v="Own"/>
    <n v="0"/>
    <n v="940"/>
    <x v="2"/>
    <x v="3"/>
    <x v="210"/>
    <n v="24"/>
    <n v="7.82"/>
    <n v="1088"/>
    <n v="72.2"/>
    <x v="2"/>
    <s v="Paid Off"/>
    <n v="0"/>
    <x v="0"/>
    <n v="3769.2400000000002"/>
    <n v="0"/>
  </r>
  <r>
    <s v="LN-00288"/>
    <s v="BRW-0239"/>
    <d v="2024-12-28T00:00:00"/>
    <n v="37"/>
    <s v="CO"/>
    <s v="Bachelor"/>
    <x v="0"/>
    <n v="15"/>
    <n v="84293"/>
    <x v="2"/>
    <n v="671"/>
    <s v="Rent"/>
    <n v="2"/>
    <n v="1969"/>
    <x v="4"/>
    <x v="6"/>
    <x v="211"/>
    <n v="36"/>
    <n v="11.95"/>
    <n v="1407.27"/>
    <n v="48.1"/>
    <x v="0"/>
    <s v="Default"/>
    <n v="61"/>
    <x v="1"/>
    <n v="0"/>
    <n v="42400"/>
  </r>
  <r>
    <s v="LN-00289"/>
    <s v="BRW-0239"/>
    <d v="2024-08-29T00:00:00"/>
    <n v="37"/>
    <s v="CO"/>
    <s v="Bachelor"/>
    <x v="0"/>
    <n v="15"/>
    <n v="84293"/>
    <x v="2"/>
    <n v="671"/>
    <s v="Rent"/>
    <n v="2"/>
    <n v="1969"/>
    <x v="4"/>
    <x v="0"/>
    <x v="212"/>
    <n v="48"/>
    <n v="10.51"/>
    <n v="957.75"/>
    <n v="41.7"/>
    <x v="1"/>
    <s v="Late"/>
    <n v="30"/>
    <x v="0"/>
    <n v="15722.96"/>
    <n v="0"/>
  </r>
  <r>
    <s v="LN-00290"/>
    <s v="BRW-0240"/>
    <d v="2024-05-23T00:00:00"/>
    <n v="68"/>
    <s v="MO"/>
    <s v="Master"/>
    <x v="1"/>
    <n v="11"/>
    <n v="116402"/>
    <x v="2"/>
    <n v="795"/>
    <s v="Rent"/>
    <n v="4"/>
    <n v="5127"/>
    <x v="3"/>
    <x v="2"/>
    <x v="213"/>
    <n v="36"/>
    <n v="8.17"/>
    <n v="414.68"/>
    <n v="57.1"/>
    <x v="0"/>
    <s v="Current"/>
    <n v="0"/>
    <x v="0"/>
    <n v="3235.3199999999997"/>
    <n v="0"/>
  </r>
  <r>
    <s v="LN-00291"/>
    <s v="BRW-0240"/>
    <d v="2024-05-30T00:00:00"/>
    <n v="68"/>
    <s v="MO"/>
    <s v="Master"/>
    <x v="1"/>
    <n v="11"/>
    <n v="116402"/>
    <x v="2"/>
    <n v="795"/>
    <s v="Rent"/>
    <n v="4"/>
    <n v="5127"/>
    <x v="3"/>
    <x v="4"/>
    <x v="4"/>
    <n v="36"/>
    <n v="9.02"/>
    <n v="356.26"/>
    <n v="56.5"/>
    <x v="0"/>
    <s v="Current"/>
    <n v="0"/>
    <x v="0"/>
    <n v="3030.7200000000003"/>
    <n v="0"/>
  </r>
  <r>
    <s v="LN-00292"/>
    <s v="BRW-0241"/>
    <d v="2025-02-16T00:00:00"/>
    <n v="55"/>
    <s v="OR"/>
    <s v="High School"/>
    <x v="2"/>
    <n v="0"/>
    <n v="55670"/>
    <x v="3"/>
    <n v="554"/>
    <s v="Mortgage"/>
    <n v="2"/>
    <n v="389"/>
    <x v="0"/>
    <x v="5"/>
    <x v="214"/>
    <n v="36"/>
    <n v="14.15"/>
    <n v="780.91"/>
    <n v="25.2"/>
    <x v="4"/>
    <s v="Current"/>
    <n v="0"/>
    <x v="0"/>
    <n v="9678.6"/>
    <n v="0"/>
  </r>
  <r>
    <s v="LN-00293"/>
    <s v="BRW-0242"/>
    <d v="2025-03-02T00:00:00"/>
    <n v="31"/>
    <s v="WI"/>
    <s v="High School"/>
    <x v="1"/>
    <n v="10"/>
    <n v="35536"/>
    <x v="0"/>
    <n v="841"/>
    <s v="Rent"/>
    <n v="3"/>
    <n v="1124"/>
    <x v="3"/>
    <x v="0"/>
    <x v="62"/>
    <n v="48"/>
    <n v="9.64"/>
    <n v="949.66"/>
    <n v="70"/>
    <x v="2"/>
    <s v="Current"/>
    <n v="0"/>
    <x v="0"/>
    <n v="14537.12"/>
    <n v="0"/>
  </r>
  <r>
    <s v="LN-00294"/>
    <s v="BRW-0243"/>
    <d v="2024-08-05T00:00:00"/>
    <n v="23"/>
    <s v="MI"/>
    <s v="High School"/>
    <x v="3"/>
    <n v="2"/>
    <n v="12549"/>
    <x v="1"/>
    <n v="791"/>
    <s v="Mortgage"/>
    <n v="0"/>
    <n v="477"/>
    <x v="3"/>
    <x v="5"/>
    <x v="167"/>
    <n v="60"/>
    <n v="7.41"/>
    <n v="207.95"/>
    <n v="65.5"/>
    <x v="2"/>
    <s v="Current"/>
    <n v="0"/>
    <x v="0"/>
    <n v="3853.2"/>
    <n v="0"/>
  </r>
  <r>
    <s v="LN-00295"/>
    <s v="BRW-0244"/>
    <d v="2024-10-23T00:00:00"/>
    <n v="65"/>
    <s v="OH"/>
    <s v="Bachelor"/>
    <x v="4"/>
    <n v="33"/>
    <n v="31222"/>
    <x v="2"/>
    <n v="574"/>
    <s v="Own"/>
    <n v="2"/>
    <n v="458"/>
    <x v="0"/>
    <x v="6"/>
    <x v="215"/>
    <n v="12"/>
    <n v="12.28"/>
    <n v="1263.51"/>
    <n v="66.2"/>
    <x v="2"/>
    <s v="Default"/>
    <n v="69"/>
    <x v="1"/>
    <n v="0"/>
    <n v="14200"/>
  </r>
  <r>
    <s v="LN-00296"/>
    <s v="BRW-0245"/>
    <d v="2024-05-26T00:00:00"/>
    <n v="44"/>
    <s v="SC"/>
    <s v="Associate"/>
    <x v="1"/>
    <n v="14"/>
    <n v="46634"/>
    <x v="2"/>
    <n v="737"/>
    <s v="Mortgage"/>
    <n v="0"/>
    <n v="1523"/>
    <x v="2"/>
    <x v="3"/>
    <x v="216"/>
    <n v="48"/>
    <n v="7.86"/>
    <n v="404.16"/>
    <n v="49.6"/>
    <x v="0"/>
    <s v="Current"/>
    <n v="0"/>
    <x v="0"/>
    <n v="5219.04"/>
    <n v="0"/>
  </r>
  <r>
    <s v="LN-00297"/>
    <s v="BRW-0246"/>
    <d v="2024-12-23T00:00:00"/>
    <n v="27"/>
    <s v="MO"/>
    <s v="Bachelor"/>
    <x v="2"/>
    <n v="6"/>
    <n v="89061"/>
    <x v="0"/>
    <n v="587"/>
    <s v="Mortgage"/>
    <n v="1"/>
    <n v="2733"/>
    <x v="0"/>
    <x v="3"/>
    <x v="217"/>
    <n v="48"/>
    <n v="10.23"/>
    <n v="1046.95"/>
    <n v="50.9"/>
    <x v="0"/>
    <s v="Default"/>
    <n v="41"/>
    <x v="1"/>
    <n v="0"/>
    <n v="41100"/>
  </r>
  <r>
    <s v="LN-00298"/>
    <s v="BRW-0246"/>
    <d v="2025-01-21T00:00:00"/>
    <n v="27"/>
    <s v="MO"/>
    <s v="Bachelor"/>
    <x v="2"/>
    <n v="6"/>
    <n v="89061"/>
    <x v="0"/>
    <n v="587"/>
    <s v="Mortgage"/>
    <n v="1"/>
    <n v="2733"/>
    <x v="0"/>
    <x v="1"/>
    <x v="218"/>
    <n v="48"/>
    <n v="14.72"/>
    <n v="467.94"/>
    <n v="43.1"/>
    <x v="1"/>
    <s v="Late"/>
    <n v="0"/>
    <x v="0"/>
    <n v="9950.7199999999993"/>
    <n v="0"/>
  </r>
  <r>
    <s v="LN-00299"/>
    <s v="BRW-0247"/>
    <d v="2024-11-29T00:00:00"/>
    <n v="66"/>
    <s v="UT"/>
    <s v="High School"/>
    <x v="1"/>
    <n v="6"/>
    <n v="37673"/>
    <x v="0"/>
    <n v="694"/>
    <s v="Rent"/>
    <n v="0"/>
    <n v="488"/>
    <x v="4"/>
    <x v="2"/>
    <x v="219"/>
    <n v="48"/>
    <n v="9.18"/>
    <n v="774.09"/>
    <n v="40.200000000000003"/>
    <x v="1"/>
    <s v="Default"/>
    <n v="134"/>
    <x v="1"/>
    <n v="0"/>
    <n v="31000"/>
  </r>
  <r>
    <s v="LN-00300"/>
    <s v="BRW-0248"/>
    <d v="2024-03-31T00:00:00"/>
    <n v="66"/>
    <s v="MD"/>
    <s v="Master"/>
    <x v="1"/>
    <n v="17"/>
    <n v="58595"/>
    <x v="2"/>
    <n v="568"/>
    <s v="Rent"/>
    <n v="2"/>
    <n v="682"/>
    <x v="0"/>
    <x v="1"/>
    <x v="220"/>
    <n v="48"/>
    <n v="14.21"/>
    <n v="104.24"/>
    <n v="16.100000000000001"/>
    <x v="3"/>
    <s v="Current"/>
    <n v="0"/>
    <x v="0"/>
    <n v="2159.92"/>
    <n v="0"/>
  </r>
  <r>
    <s v="LN-00301"/>
    <s v="BRW-0249"/>
    <d v="2024-02-24T00:00:00"/>
    <n v="42"/>
    <s v="MD"/>
    <s v="High School"/>
    <x v="1"/>
    <n v="2"/>
    <n v="27475"/>
    <x v="1"/>
    <n v="728"/>
    <s v="Mortgage"/>
    <n v="0"/>
    <n v="1069"/>
    <x v="2"/>
    <x v="3"/>
    <x v="100"/>
    <n v="60"/>
    <n v="8.2899999999999991"/>
    <n v="104.12"/>
    <n v="51.2"/>
    <x v="0"/>
    <s v="Paid Off"/>
    <n v="0"/>
    <x v="0"/>
    <n v="2113.9499999999998"/>
    <n v="0"/>
  </r>
  <r>
    <s v="LN-00302"/>
    <s v="BRW-0250"/>
    <d v="2024-10-08T00:00:00"/>
    <n v="46"/>
    <s v="AL"/>
    <s v="Bachelor"/>
    <x v="1"/>
    <n v="25"/>
    <n v="65089"/>
    <x v="2"/>
    <n v="606"/>
    <s v="Rent"/>
    <n v="0"/>
    <n v="2292"/>
    <x v="1"/>
    <x v="8"/>
    <x v="82"/>
    <n v="24"/>
    <n v="14.71"/>
    <n v="1315.09"/>
    <n v="66.5"/>
    <x v="2"/>
    <s v="Paid Off"/>
    <n v="0"/>
    <x v="0"/>
    <n v="8002.2400000000007"/>
    <n v="0"/>
  </r>
  <r>
    <s v="LN-00303"/>
    <s v="BRW-0251"/>
    <d v="2024-02-16T00:00:00"/>
    <n v="44"/>
    <s v="WI"/>
    <s v="High School"/>
    <x v="1"/>
    <n v="19"/>
    <n v="51921"/>
    <x v="2"/>
    <n v="704"/>
    <s v="Rent"/>
    <n v="1"/>
    <n v="1889"/>
    <x v="2"/>
    <x v="0"/>
    <x v="221"/>
    <n v="36"/>
    <n v="10.28"/>
    <n v="392.03"/>
    <n v="52.7"/>
    <x v="0"/>
    <s v="Late"/>
    <n v="15"/>
    <x v="0"/>
    <n v="3731.6399999999994"/>
    <n v="0"/>
  </r>
  <r>
    <s v="LN-00304"/>
    <s v="BRW-0251"/>
    <d v="2024-04-03T00:00:00"/>
    <n v="44"/>
    <s v="WI"/>
    <s v="High School"/>
    <x v="1"/>
    <n v="19"/>
    <n v="51921"/>
    <x v="2"/>
    <n v="704"/>
    <s v="Rent"/>
    <n v="1"/>
    <n v="1889"/>
    <x v="2"/>
    <x v="5"/>
    <x v="222"/>
    <n v="36"/>
    <n v="10.18"/>
    <n v="1161.43"/>
    <n v="70.5"/>
    <x v="2"/>
    <s v="Default"/>
    <n v="55"/>
    <x v="1"/>
    <n v="0"/>
    <n v="35900"/>
  </r>
  <r>
    <s v="LN-00305"/>
    <s v="BRW-0252"/>
    <d v="2025-02-21T00:00:00"/>
    <n v="23"/>
    <s v="WA"/>
    <s v="Bachelor"/>
    <x v="0"/>
    <n v="2"/>
    <n v="69345"/>
    <x v="1"/>
    <n v="651"/>
    <s v="Mortgage"/>
    <n v="1"/>
    <n v="2252"/>
    <x v="4"/>
    <x v="3"/>
    <x v="223"/>
    <n v="12"/>
    <n v="9.92"/>
    <n v="870"/>
    <n v="54"/>
    <x v="0"/>
    <s v="Paid Off"/>
    <n v="0"/>
    <x v="0"/>
    <n v="982.07999999999993"/>
    <n v="0"/>
  </r>
  <r>
    <s v="LN-00306"/>
    <s v="BRW-0253"/>
    <d v="2024-11-27T00:00:00"/>
    <n v="64"/>
    <s v="IL"/>
    <s v="Bachelor"/>
    <x v="0"/>
    <n v="4"/>
    <n v="59445"/>
    <x v="1"/>
    <n v="656"/>
    <s v="Own"/>
    <n v="1"/>
    <n v="2189"/>
    <x v="4"/>
    <x v="8"/>
    <x v="136"/>
    <n v="24"/>
    <n v="11.13"/>
    <n v="266.01"/>
    <n v="49.6"/>
    <x v="0"/>
    <s v="Late"/>
    <n v="15"/>
    <x v="0"/>
    <n v="1268.8200000000002"/>
    <n v="0"/>
  </r>
  <r>
    <s v="LN-00307"/>
    <s v="BRW-0254"/>
    <d v="2025-05-31T00:00:00"/>
    <n v="31"/>
    <s v="LA"/>
    <s v="Master"/>
    <x v="1"/>
    <n v="4"/>
    <n v="63742"/>
    <x v="1"/>
    <n v="537"/>
    <s v="Mortgage"/>
    <n v="0"/>
    <n v="617"/>
    <x v="0"/>
    <x v="7"/>
    <x v="224"/>
    <n v="48"/>
    <n v="13.59"/>
    <n v="816.35"/>
    <n v="27"/>
    <x v="4"/>
    <s v="Current"/>
    <n v="0"/>
    <x v="0"/>
    <n v="16362.359999999999"/>
    <n v="0"/>
  </r>
  <r>
    <s v="LN-00308"/>
    <s v="BRW-0255"/>
    <d v="2024-01-20T00:00:00"/>
    <n v="33"/>
    <s v="MO"/>
    <s v="Bachelor"/>
    <x v="3"/>
    <n v="0"/>
    <n v="40311"/>
    <x v="3"/>
    <n v="582"/>
    <s v="Own"/>
    <n v="0"/>
    <n v="1172"/>
    <x v="0"/>
    <x v="1"/>
    <x v="225"/>
    <n v="24"/>
    <n v="14.87"/>
    <n v="116.22"/>
    <n v="38.299999999999997"/>
    <x v="1"/>
    <s v="Default"/>
    <n v="180"/>
    <x v="1"/>
    <n v="0"/>
    <n v="2400"/>
  </r>
  <r>
    <s v="LN-00309"/>
    <s v="BRW-0256"/>
    <d v="2025-02-20T00:00:00"/>
    <n v="42"/>
    <s v="GA"/>
    <s v="Master"/>
    <x v="1"/>
    <n v="17"/>
    <n v="90104"/>
    <x v="2"/>
    <n v="583"/>
    <s v="Rent"/>
    <n v="2"/>
    <n v="1012"/>
    <x v="0"/>
    <x v="7"/>
    <x v="226"/>
    <n v="24"/>
    <n v="11.81"/>
    <n v="1564.59"/>
    <n v="34.299999999999997"/>
    <x v="4"/>
    <s v="Current"/>
    <n v="0"/>
    <x v="0"/>
    <n v="7865.4600000000009"/>
    <n v="0"/>
  </r>
  <r>
    <s v="LN-00310"/>
    <s v="BRW-0257"/>
    <d v="2025-03-09T00:00:00"/>
    <n v="46"/>
    <s v="NC"/>
    <s v="High School"/>
    <x v="1"/>
    <n v="2"/>
    <n v="31847"/>
    <x v="1"/>
    <n v="599"/>
    <s v="Own"/>
    <n v="1"/>
    <n v="775"/>
    <x v="0"/>
    <x v="5"/>
    <x v="227"/>
    <n v="24"/>
    <n v="12.7"/>
    <n v="1113.92"/>
    <n v="71.2"/>
    <x v="2"/>
    <s v="Current"/>
    <n v="0"/>
    <x v="0"/>
    <n v="5969"/>
    <n v="0"/>
  </r>
  <r>
    <s v="LN-00311"/>
    <s v="BRW-0258"/>
    <d v="2025-05-08T00:00:00"/>
    <n v="26"/>
    <s v="MA"/>
    <s v="Bachelor"/>
    <x v="4"/>
    <n v="4"/>
    <n v="51955"/>
    <x v="1"/>
    <n v="783"/>
    <s v="Mortgage"/>
    <n v="0"/>
    <n v="876"/>
    <x v="3"/>
    <x v="9"/>
    <x v="228"/>
    <n v="12"/>
    <n v="7.25"/>
    <n v="2833.19"/>
    <n v="85.7"/>
    <x v="2"/>
    <s v="Late"/>
    <n v="0"/>
    <x v="0"/>
    <n v="2370.75"/>
    <n v="0"/>
  </r>
  <r>
    <s v="LN-00312"/>
    <s v="BRW-0258"/>
    <d v="2024-06-14T00:00:00"/>
    <n v="26"/>
    <s v="MA"/>
    <s v="Bachelor"/>
    <x v="4"/>
    <n v="4"/>
    <n v="51955"/>
    <x v="1"/>
    <n v="783"/>
    <s v="Mortgage"/>
    <n v="0"/>
    <n v="876"/>
    <x v="3"/>
    <x v="4"/>
    <x v="116"/>
    <n v="60"/>
    <n v="8.36"/>
    <n v="249.48"/>
    <n v="26"/>
    <x v="4"/>
    <s v="Current"/>
    <n v="0"/>
    <x v="0"/>
    <n v="5099.5999999999995"/>
    <n v="0"/>
  </r>
  <r>
    <s v="LN-00313"/>
    <s v="BRW-0259"/>
    <d v="2024-08-03T00:00:00"/>
    <n v="47"/>
    <s v="OR"/>
    <s v="Associate"/>
    <x v="3"/>
    <n v="14"/>
    <n v="36601"/>
    <x v="2"/>
    <n v="693"/>
    <s v="Mortgage"/>
    <n v="3"/>
    <n v="1145"/>
    <x v="4"/>
    <x v="6"/>
    <x v="229"/>
    <n v="36"/>
    <n v="12.84"/>
    <n v="1176.5899999999999"/>
    <n v="76.099999999999994"/>
    <x v="2"/>
    <s v="Late"/>
    <n v="30"/>
    <x v="0"/>
    <n v="13481.999999999996"/>
    <n v="0"/>
  </r>
  <r>
    <s v="LN-00314"/>
    <s v="BRW-0260"/>
    <d v="2024-11-25T00:00:00"/>
    <n v="60"/>
    <s v="WA"/>
    <s v="High School"/>
    <x v="1"/>
    <n v="30"/>
    <n v="55744"/>
    <x v="2"/>
    <n v="632"/>
    <s v="Mortgage"/>
    <n v="4"/>
    <n v="909"/>
    <x v="1"/>
    <x v="4"/>
    <x v="230"/>
    <n v="48"/>
    <n v="10.83"/>
    <n v="1262.3900000000001"/>
    <n v="46.7"/>
    <x v="0"/>
    <s v="Current"/>
    <n v="0"/>
    <x v="0"/>
    <n v="21226.800000000003"/>
    <n v="0"/>
  </r>
  <r>
    <s v="LN-00315"/>
    <s v="BRW-0261"/>
    <d v="2024-01-10T00:00:00"/>
    <n v="66"/>
    <s v="KY"/>
    <s v="Bachelor"/>
    <x v="4"/>
    <n v="24"/>
    <n v="54293"/>
    <x v="2"/>
    <n v="696"/>
    <s v="Mortgage"/>
    <n v="1"/>
    <n v="483"/>
    <x v="4"/>
    <x v="5"/>
    <x v="231"/>
    <n v="48"/>
    <n v="8.42"/>
    <n v="51.68"/>
    <n v="11.8"/>
    <x v="3"/>
    <s v="Paid Off"/>
    <n v="0"/>
    <x v="0"/>
    <n v="707.28"/>
    <n v="0"/>
  </r>
  <r>
    <s v="LN-00316"/>
    <s v="BRW-0262"/>
    <d v="2025-03-31T00:00:00"/>
    <n v="58"/>
    <s v="MA"/>
    <s v="High School"/>
    <x v="4"/>
    <n v="1"/>
    <n v="17239"/>
    <x v="3"/>
    <n v="801"/>
    <s v="Rent"/>
    <n v="3"/>
    <n v="222"/>
    <x v="3"/>
    <x v="1"/>
    <x v="10"/>
    <n v="12"/>
    <n v="9.34"/>
    <n v="1165.2"/>
    <n v="96.6"/>
    <x v="2"/>
    <s v="Paid Off"/>
    <n v="0"/>
    <x v="0"/>
    <n v="1242.22"/>
    <n v="0"/>
  </r>
  <r>
    <s v="LN-00317"/>
    <s v="BRW-0263"/>
    <d v="2025-01-14T00:00:00"/>
    <n v="40"/>
    <s v="MI"/>
    <s v="Master"/>
    <x v="1"/>
    <n v="15"/>
    <n v="127340"/>
    <x v="2"/>
    <n v="759"/>
    <s v="Own"/>
    <n v="0"/>
    <n v="4025"/>
    <x v="3"/>
    <x v="4"/>
    <x v="232"/>
    <n v="12"/>
    <n v="7.97"/>
    <n v="3679.02"/>
    <n v="72.599999999999994"/>
    <x v="2"/>
    <s v="Current"/>
    <n v="0"/>
    <x v="0"/>
    <n v="3371.3099999999995"/>
    <n v="0"/>
  </r>
  <r>
    <s v="LN-00318"/>
    <s v="BRW-0263"/>
    <d v="2024-11-06T00:00:00"/>
    <n v="40"/>
    <s v="MI"/>
    <s v="Master"/>
    <x v="1"/>
    <n v="15"/>
    <n v="127340"/>
    <x v="2"/>
    <n v="759"/>
    <s v="Own"/>
    <n v="0"/>
    <n v="4025"/>
    <x v="3"/>
    <x v="8"/>
    <x v="233"/>
    <n v="36"/>
    <n v="8.31"/>
    <n v="1092.3399999999999"/>
    <n v="48.2"/>
    <x v="0"/>
    <s v="Paid Off"/>
    <n v="0"/>
    <x v="0"/>
    <n v="8650.7100000000009"/>
    <n v="0"/>
  </r>
  <r>
    <s v="LN-00319"/>
    <s v="BRW-0264"/>
    <d v="2024-07-19T00:00:00"/>
    <n v="67"/>
    <s v="MO"/>
    <s v="Bachelor"/>
    <x v="1"/>
    <n v="30"/>
    <n v="69250"/>
    <x v="2"/>
    <n v="841"/>
    <s v="Mortgage"/>
    <n v="1"/>
    <n v="2944"/>
    <x v="3"/>
    <x v="8"/>
    <x v="234"/>
    <n v="60"/>
    <n v="7.03"/>
    <n v="794.6"/>
    <n v="64.8"/>
    <x v="2"/>
    <s v="Current"/>
    <n v="0"/>
    <x v="0"/>
    <n v="14095.150000000001"/>
    <n v="0"/>
  </r>
  <r>
    <s v="LN-00320"/>
    <s v="BRW-0264"/>
    <d v="2024-06-28T00:00:00"/>
    <n v="67"/>
    <s v="MO"/>
    <s v="Bachelor"/>
    <x v="1"/>
    <n v="30"/>
    <n v="69250"/>
    <x v="2"/>
    <n v="841"/>
    <s v="Mortgage"/>
    <n v="1"/>
    <n v="2944"/>
    <x v="3"/>
    <x v="3"/>
    <x v="187"/>
    <n v="60"/>
    <n v="6.95"/>
    <n v="508.28"/>
    <n v="59.8"/>
    <x v="0"/>
    <s v="Default"/>
    <n v="62"/>
    <x v="1"/>
    <n v="0"/>
    <n v="25700"/>
  </r>
  <r>
    <s v="LN-00321"/>
    <s v="BRW-0265"/>
    <d v="2024-10-07T00:00:00"/>
    <n v="66"/>
    <s v="GA"/>
    <s v="Bachelor"/>
    <x v="1"/>
    <n v="5"/>
    <n v="102385"/>
    <x v="1"/>
    <n v="819"/>
    <s v="Own"/>
    <n v="2"/>
    <n v="1941"/>
    <x v="3"/>
    <x v="5"/>
    <x v="235"/>
    <n v="24"/>
    <n v="10.76"/>
    <n v="1367"/>
    <n v="38.799999999999997"/>
    <x v="1"/>
    <s v="Paid Off"/>
    <n v="0"/>
    <x v="0"/>
    <n v="6326.88"/>
    <n v="0"/>
  </r>
  <r>
    <s v="LN-00322"/>
    <s v="BRW-0266"/>
    <d v="2025-03-13T00:00:00"/>
    <n v="63"/>
    <s v="AZ"/>
    <s v="Bachelor"/>
    <x v="3"/>
    <n v="21"/>
    <n v="44963"/>
    <x v="2"/>
    <n v="734"/>
    <s v="Rent"/>
    <n v="0"/>
    <n v="372"/>
    <x v="2"/>
    <x v="2"/>
    <x v="24"/>
    <n v="48"/>
    <n v="7.78"/>
    <n v="787.64"/>
    <n v="30.9"/>
    <x v="4"/>
    <s v="Late"/>
    <n v="15"/>
    <x v="0"/>
    <n v="10082.880000000001"/>
    <n v="0"/>
  </r>
  <r>
    <s v="LN-00323"/>
    <s v="BRW-0267"/>
    <d v="2025-04-22T00:00:00"/>
    <n v="36"/>
    <s v="WA"/>
    <s v="Bachelor"/>
    <x v="1"/>
    <n v="7"/>
    <n v="77637"/>
    <x v="0"/>
    <n v="829"/>
    <s v="Mortgage"/>
    <n v="1"/>
    <n v="2521"/>
    <x v="3"/>
    <x v="1"/>
    <x v="91"/>
    <n v="12"/>
    <n v="9.58"/>
    <n v="1885.99"/>
    <n v="68.099999999999994"/>
    <x v="2"/>
    <s v="Current"/>
    <n v="0"/>
    <x v="0"/>
    <n v="2059.6999999999998"/>
    <n v="0"/>
  </r>
  <r>
    <s v="LN-00324"/>
    <s v="BRW-0267"/>
    <d v="2024-01-06T00:00:00"/>
    <n v="36"/>
    <s v="WA"/>
    <s v="Bachelor"/>
    <x v="1"/>
    <n v="7"/>
    <n v="77637"/>
    <x v="0"/>
    <n v="829"/>
    <s v="Mortgage"/>
    <n v="1"/>
    <n v="2521"/>
    <x v="3"/>
    <x v="7"/>
    <x v="236"/>
    <n v="60"/>
    <n v="8.43"/>
    <n v="524.36"/>
    <n v="47.1"/>
    <x v="0"/>
    <s v="Paid Off"/>
    <n v="0"/>
    <x v="0"/>
    <n v="10790.4"/>
    <n v="0"/>
  </r>
  <r>
    <s v="LN-00325"/>
    <s v="BRW-0268"/>
    <d v="2024-07-20T00:00:00"/>
    <n v="66"/>
    <s v="NY"/>
    <s v="Bachelor"/>
    <x v="1"/>
    <n v="18"/>
    <n v="42167"/>
    <x v="2"/>
    <n v="583"/>
    <s v="Mortgage"/>
    <n v="0"/>
    <n v="1828"/>
    <x v="0"/>
    <x v="7"/>
    <x v="204"/>
    <n v="12"/>
    <n v="14.87"/>
    <n v="2011.39"/>
    <n v="109.3"/>
    <x v="2"/>
    <s v="Default"/>
    <n v="109"/>
    <x v="1"/>
    <n v="0"/>
    <n v="22300"/>
  </r>
  <r>
    <s v="LN-00326"/>
    <s v="BRW-0268"/>
    <d v="2024-01-25T00:00:00"/>
    <n v="66"/>
    <s v="NY"/>
    <s v="Bachelor"/>
    <x v="1"/>
    <n v="18"/>
    <n v="42167"/>
    <x v="2"/>
    <n v="583"/>
    <s v="Mortgage"/>
    <n v="0"/>
    <n v="1828"/>
    <x v="0"/>
    <x v="6"/>
    <x v="201"/>
    <n v="48"/>
    <n v="12.44"/>
    <n v="161.96"/>
    <n v="56.6"/>
    <x v="0"/>
    <s v="Current"/>
    <n v="0"/>
    <x v="0"/>
    <n v="3035.36"/>
    <n v="0"/>
  </r>
  <r>
    <s v="LN-00327"/>
    <s v="BRW-0269"/>
    <d v="2025-06-16T00:00:00"/>
    <n v="31"/>
    <s v="FL"/>
    <s v="Associate"/>
    <x v="1"/>
    <n v="7"/>
    <n v="65633"/>
    <x v="0"/>
    <n v="801"/>
    <s v="Mortgage"/>
    <n v="1"/>
    <n v="2178"/>
    <x v="3"/>
    <x v="6"/>
    <x v="237"/>
    <n v="12"/>
    <n v="10.76"/>
    <n v="4236.95"/>
    <n v="117.3"/>
    <x v="2"/>
    <s v="Late"/>
    <n v="15"/>
    <x v="0"/>
    <n v="5164.8"/>
    <n v="0"/>
  </r>
  <r>
    <s v="LN-00328"/>
    <s v="BRW-0270"/>
    <d v="2024-02-04T00:00:00"/>
    <n v="42"/>
    <s v="MN"/>
    <s v="High School"/>
    <x v="1"/>
    <n v="10"/>
    <n v="47419"/>
    <x v="0"/>
    <n v="541"/>
    <s v="Mortgage"/>
    <n v="3"/>
    <n v="2034"/>
    <x v="0"/>
    <x v="6"/>
    <x v="95"/>
    <n v="12"/>
    <n v="15.86"/>
    <n v="2692.74"/>
    <n v="119.6"/>
    <x v="2"/>
    <s v="Default"/>
    <n v="46"/>
    <x v="1"/>
    <n v="0"/>
    <n v="29700"/>
  </r>
  <r>
    <s v="LN-00329"/>
    <s v="BRW-0271"/>
    <d v="2025-03-18T00:00:00"/>
    <n v="37"/>
    <s v="WA"/>
    <s v="Bachelor"/>
    <x v="3"/>
    <n v="14"/>
    <n v="33944"/>
    <x v="2"/>
    <n v="743"/>
    <s v="Own"/>
    <n v="2"/>
    <n v="405"/>
    <x v="2"/>
    <x v="8"/>
    <x v="238"/>
    <n v="36"/>
    <n v="10.67"/>
    <n v="723.34"/>
    <n v="39.9"/>
    <x v="1"/>
    <s v="Default"/>
    <n v="44"/>
    <x v="1"/>
    <n v="0"/>
    <n v="22200"/>
  </r>
  <r>
    <s v="LN-00330"/>
    <s v="BRW-0272"/>
    <d v="2024-08-26T00:00:00"/>
    <n v="64"/>
    <s v="WA"/>
    <s v="Bachelor"/>
    <x v="1"/>
    <n v="28"/>
    <n v="79780"/>
    <x v="2"/>
    <n v="636"/>
    <s v="Mortgage"/>
    <n v="0"/>
    <n v="1046"/>
    <x v="1"/>
    <x v="3"/>
    <x v="189"/>
    <n v="60"/>
    <n v="13.16"/>
    <n v="486.39"/>
    <n v="23"/>
    <x v="4"/>
    <s v="Late"/>
    <n v="0"/>
    <x v="0"/>
    <n v="14015.4"/>
    <n v="0"/>
  </r>
  <r>
    <s v="LN-00331"/>
    <s v="BRW-0273"/>
    <d v="2024-01-27T00:00:00"/>
    <n v="39"/>
    <s v="NJ"/>
    <s v="Master"/>
    <x v="2"/>
    <n v="17"/>
    <n v="59967"/>
    <x v="2"/>
    <n v="582"/>
    <s v="Own"/>
    <n v="0"/>
    <n v="534"/>
    <x v="0"/>
    <x v="0"/>
    <x v="239"/>
    <n v="60"/>
    <n v="10.81"/>
    <n v="956.83"/>
    <n v="29.8"/>
    <x v="4"/>
    <s v="Current"/>
    <n v="0"/>
    <x v="0"/>
    <n v="23890.100000000002"/>
    <n v="0"/>
  </r>
  <r>
    <s v="LN-00332"/>
    <s v="BRW-0274"/>
    <d v="2024-05-09T00:00:00"/>
    <n v="64"/>
    <s v="MD"/>
    <s v="Master"/>
    <x v="1"/>
    <n v="24"/>
    <n v="109435"/>
    <x v="2"/>
    <n v="850"/>
    <s v="Mortgage"/>
    <n v="0"/>
    <n v="2060"/>
    <x v="3"/>
    <x v="9"/>
    <x v="240"/>
    <n v="24"/>
    <n v="10.36"/>
    <n v="1412.49"/>
    <n v="38.1"/>
    <x v="1"/>
    <s v="Current"/>
    <n v="0"/>
    <x v="0"/>
    <n v="6319.5999999999995"/>
    <n v="0"/>
  </r>
  <r>
    <s v="LN-00333"/>
    <s v="BRW-0275"/>
    <d v="2024-11-15T00:00:00"/>
    <n v="51"/>
    <s v="NJ"/>
    <s v="Bachelor"/>
    <x v="2"/>
    <n v="5"/>
    <n v="85642"/>
    <x v="1"/>
    <n v="692"/>
    <s v="Rent"/>
    <n v="0"/>
    <n v="1446"/>
    <x v="4"/>
    <x v="0"/>
    <x v="56"/>
    <n v="12"/>
    <n v="8.77"/>
    <n v="690.02"/>
    <n v="29.9"/>
    <x v="4"/>
    <s v="Late"/>
    <n v="0"/>
    <x v="0"/>
    <n v="692.83"/>
    <n v="0"/>
  </r>
  <r>
    <s v="LN-00334"/>
    <s v="BRW-0276"/>
    <d v="2024-12-17T00:00:00"/>
    <n v="33"/>
    <s v="AZ"/>
    <s v="Bachelor"/>
    <x v="1"/>
    <n v="2"/>
    <n v="65383"/>
    <x v="1"/>
    <n v="840"/>
    <s v="Mortgage"/>
    <n v="0"/>
    <n v="2003"/>
    <x v="3"/>
    <x v="9"/>
    <x v="6"/>
    <n v="24"/>
    <n v="8.35"/>
    <n v="1779.17"/>
    <n v="69.400000000000006"/>
    <x v="2"/>
    <s v="Late"/>
    <n v="30"/>
    <x v="0"/>
    <n v="6546.4"/>
    <n v="0"/>
  </r>
  <r>
    <s v="LN-00335"/>
    <s v="BRW-0277"/>
    <d v="2025-03-08T00:00:00"/>
    <n v="66"/>
    <s v="PA"/>
    <s v="Master"/>
    <x v="4"/>
    <n v="31"/>
    <n v="41677"/>
    <x v="2"/>
    <n v="615"/>
    <s v="Mortgage"/>
    <n v="1"/>
    <n v="956"/>
    <x v="1"/>
    <x v="5"/>
    <x v="241"/>
    <n v="60"/>
    <n v="14.04"/>
    <n v="204.94"/>
    <n v="33.4"/>
    <x v="4"/>
    <s v="Late"/>
    <n v="30"/>
    <x v="0"/>
    <n v="6177.6"/>
    <n v="0"/>
  </r>
  <r>
    <s v="LN-00336"/>
    <s v="BRW-0278"/>
    <d v="2024-12-05T00:00:00"/>
    <n v="25"/>
    <s v="IN"/>
    <s v="Master"/>
    <x v="4"/>
    <n v="3"/>
    <n v="57707"/>
    <x v="1"/>
    <n v="629"/>
    <s v="Rent"/>
    <n v="2"/>
    <n v="1224"/>
    <x v="1"/>
    <x v="6"/>
    <x v="242"/>
    <n v="48"/>
    <n v="12.52"/>
    <n v="744.52"/>
    <n v="40.9"/>
    <x v="1"/>
    <s v="Current"/>
    <n v="0"/>
    <x v="0"/>
    <n v="14022.400000000001"/>
    <n v="0"/>
  </r>
  <r>
    <s v="LN-00337"/>
    <s v="BRW-0279"/>
    <d v="2024-01-04T00:00:00"/>
    <n v="53"/>
    <s v="GA"/>
    <s v="Bachelor"/>
    <x v="2"/>
    <n v="1"/>
    <n v="71779"/>
    <x v="3"/>
    <n v="577"/>
    <s v="Rent"/>
    <n v="0"/>
    <n v="1121"/>
    <x v="0"/>
    <x v="4"/>
    <x v="88"/>
    <n v="12"/>
    <n v="12.86"/>
    <n v="1535.13"/>
    <n v="44.4"/>
    <x v="1"/>
    <s v="Current"/>
    <n v="0"/>
    <x v="0"/>
    <n v="2211.92"/>
    <n v="0"/>
  </r>
  <r>
    <s v="LN-00338"/>
    <s v="BRW-0280"/>
    <d v="2025-01-19T00:00:00"/>
    <n v="56"/>
    <s v="MD"/>
    <s v="Associate"/>
    <x v="0"/>
    <n v="35"/>
    <n v="55533"/>
    <x v="2"/>
    <n v="783"/>
    <s v="Mortgage"/>
    <n v="0"/>
    <n v="2024"/>
    <x v="3"/>
    <x v="0"/>
    <x v="243"/>
    <n v="36"/>
    <n v="10.99"/>
    <n v="1561.41"/>
    <n v="77.5"/>
    <x v="2"/>
    <s v="Paid Off"/>
    <n v="0"/>
    <x v="0"/>
    <n v="15726.689999999999"/>
    <n v="0"/>
  </r>
  <r>
    <s v="LN-00339"/>
    <s v="BRW-0281"/>
    <d v="2024-07-18T00:00:00"/>
    <n v="45"/>
    <s v="AZ"/>
    <s v="Bachelor"/>
    <x v="0"/>
    <n v="17"/>
    <n v="89088"/>
    <x v="2"/>
    <n v="765"/>
    <s v="Own"/>
    <n v="0"/>
    <n v="3452"/>
    <x v="3"/>
    <x v="6"/>
    <x v="5"/>
    <n v="24"/>
    <n v="8.6999999999999993"/>
    <n v="1302.6500000000001"/>
    <n v="64"/>
    <x v="2"/>
    <s v="Late"/>
    <n v="15"/>
    <x v="0"/>
    <n v="4976.3999999999996"/>
    <n v="0"/>
  </r>
  <r>
    <s v="LN-00340"/>
    <s v="BRW-0282"/>
    <d v="2024-12-13T00:00:00"/>
    <n v="37"/>
    <s v="FL"/>
    <s v="Associate"/>
    <x v="4"/>
    <n v="2"/>
    <n v="30106"/>
    <x v="1"/>
    <n v="703"/>
    <s v="Mortgage"/>
    <n v="2"/>
    <n v="422"/>
    <x v="2"/>
    <x v="7"/>
    <x v="244"/>
    <n v="36"/>
    <n v="11.88"/>
    <n v="149.21"/>
    <n v="22.8"/>
    <x v="4"/>
    <s v="Current"/>
    <n v="0"/>
    <x v="0"/>
    <n v="1603.8000000000002"/>
    <n v="0"/>
  </r>
  <r>
    <s v="LN-00341"/>
    <s v="BRW-0282"/>
    <d v="2024-05-20T00:00:00"/>
    <n v="37"/>
    <s v="FL"/>
    <s v="Associate"/>
    <x v="4"/>
    <n v="2"/>
    <n v="30106"/>
    <x v="1"/>
    <n v="703"/>
    <s v="Mortgage"/>
    <n v="2"/>
    <n v="422"/>
    <x v="2"/>
    <x v="5"/>
    <x v="245"/>
    <n v="12"/>
    <n v="12.44"/>
    <n v="3214.88"/>
    <n v="145"/>
    <x v="2"/>
    <s v="Current"/>
    <n v="0"/>
    <x v="0"/>
    <n v="4490.84"/>
    <n v="0"/>
  </r>
  <r>
    <s v="LN-00342"/>
    <s v="BRW-0283"/>
    <d v="2025-06-23T00:00:00"/>
    <n v="59"/>
    <s v="KY"/>
    <s v="Bachelor"/>
    <x v="2"/>
    <n v="10"/>
    <n v="79534"/>
    <x v="0"/>
    <n v="754"/>
    <s v="Mortgage"/>
    <n v="0"/>
    <n v="1017"/>
    <x v="3"/>
    <x v="3"/>
    <x v="246"/>
    <n v="36"/>
    <n v="10.74"/>
    <n v="642.53"/>
    <n v="25"/>
    <x v="4"/>
    <s v="Late"/>
    <n v="30"/>
    <x v="0"/>
    <n v="6347.3399999999992"/>
    <n v="0"/>
  </r>
  <r>
    <s v="LN-00343"/>
    <s v="BRW-0283"/>
    <d v="2024-07-15T00:00:00"/>
    <n v="59"/>
    <s v="KY"/>
    <s v="Bachelor"/>
    <x v="2"/>
    <n v="10"/>
    <n v="79534"/>
    <x v="0"/>
    <n v="754"/>
    <s v="Mortgage"/>
    <n v="0"/>
    <n v="1017"/>
    <x v="3"/>
    <x v="6"/>
    <x v="247"/>
    <n v="24"/>
    <n v="11.41"/>
    <n v="1464.79"/>
    <n v="37.4"/>
    <x v="1"/>
    <s v="Current"/>
    <n v="0"/>
    <x v="0"/>
    <n v="7142.6600000000008"/>
    <n v="0"/>
  </r>
  <r>
    <s v="LN-00344"/>
    <s v="BRW-0284"/>
    <d v="2024-10-28T00:00:00"/>
    <n v="25"/>
    <s v="MI"/>
    <s v="Bachelor"/>
    <x v="1"/>
    <n v="2"/>
    <n v="78679"/>
    <x v="1"/>
    <n v="621"/>
    <s v="Rent"/>
    <n v="0"/>
    <n v="1204"/>
    <x v="1"/>
    <x v="7"/>
    <x v="115"/>
    <n v="60"/>
    <n v="10.6"/>
    <n v="831.58"/>
    <n v="31"/>
    <x v="4"/>
    <s v="Current"/>
    <n v="0"/>
    <x v="0"/>
    <n v="20458"/>
    <n v="0"/>
  </r>
  <r>
    <s v="LN-00345"/>
    <s v="BRW-0285"/>
    <d v="2024-03-24T00:00:00"/>
    <n v="54"/>
    <s v="OK"/>
    <s v="Doctorate"/>
    <x v="0"/>
    <n v="3"/>
    <n v="76451"/>
    <x v="1"/>
    <n v="745"/>
    <s v="Rent"/>
    <n v="2"/>
    <n v="2552"/>
    <x v="2"/>
    <x v="5"/>
    <x v="137"/>
    <n v="48"/>
    <n v="8.6300000000000008"/>
    <n v="1198.42"/>
    <n v="58.9"/>
    <x v="0"/>
    <s v="Late"/>
    <n v="0"/>
    <x v="0"/>
    <n v="16742.2"/>
    <n v="0"/>
  </r>
  <r>
    <s v="LN-00346"/>
    <s v="BRW-0286"/>
    <d v="2025-06-15T00:00:00"/>
    <n v="30"/>
    <s v="CO"/>
    <s v="Associate"/>
    <x v="0"/>
    <n v="7"/>
    <n v="67675"/>
    <x v="0"/>
    <n v="736"/>
    <s v="Own"/>
    <n v="0"/>
    <n v="1450"/>
    <x v="2"/>
    <x v="1"/>
    <x v="248"/>
    <n v="60"/>
    <n v="9.6"/>
    <n v="694.68"/>
    <n v="38"/>
    <x v="1"/>
    <s v="Current"/>
    <n v="0"/>
    <x v="0"/>
    <n v="15840"/>
    <n v="0"/>
  </r>
  <r>
    <s v="LN-00347"/>
    <s v="BRW-0287"/>
    <d v="2024-07-31T00:00:00"/>
    <n v="50"/>
    <s v="SC"/>
    <s v="High School"/>
    <x v="0"/>
    <n v="16"/>
    <n v="49464"/>
    <x v="2"/>
    <n v="736"/>
    <s v="Rent"/>
    <n v="3"/>
    <n v="966"/>
    <x v="2"/>
    <x v="0"/>
    <x v="249"/>
    <n v="60"/>
    <n v="10.98"/>
    <n v="560.70000000000005"/>
    <n v="37"/>
    <x v="1"/>
    <s v="Paid Off"/>
    <n v="0"/>
    <x v="0"/>
    <n v="14164.2"/>
    <n v="0"/>
  </r>
  <r>
    <s v="LN-00348"/>
    <s v="BRW-0288"/>
    <d v="2025-01-18T00:00:00"/>
    <n v="53"/>
    <s v="SC"/>
    <s v="Associate"/>
    <x v="1"/>
    <n v="29"/>
    <n v="65165"/>
    <x v="2"/>
    <n v="582"/>
    <s v="Mortgage"/>
    <n v="1"/>
    <n v="443"/>
    <x v="0"/>
    <x v="3"/>
    <x v="250"/>
    <n v="24"/>
    <n v="14.98"/>
    <n v="974.39"/>
    <n v="26.1"/>
    <x v="4"/>
    <s v="Default"/>
    <n v="51"/>
    <x v="1"/>
    <n v="0"/>
    <n v="20100"/>
  </r>
  <r>
    <s v="LN-00349"/>
    <s v="BRW-0289"/>
    <d v="2025-04-21T00:00:00"/>
    <n v="56"/>
    <s v="MI"/>
    <s v="Bachelor"/>
    <x v="4"/>
    <n v="17"/>
    <n v="55935"/>
    <x v="2"/>
    <n v="783"/>
    <s v="Mortgage"/>
    <n v="1"/>
    <n v="1580"/>
    <x v="3"/>
    <x v="6"/>
    <x v="141"/>
    <n v="24"/>
    <n v="9.8699999999999992"/>
    <n v="917.09"/>
    <n v="53.6"/>
    <x v="0"/>
    <s v="Current"/>
    <n v="0"/>
    <x v="0"/>
    <n v="3928.2599999999998"/>
    <n v="0"/>
  </r>
  <r>
    <s v="LN-00350"/>
    <s v="BRW-0290"/>
    <d v="2025-03-28T00:00:00"/>
    <n v="58"/>
    <s v="KY"/>
    <s v="Master"/>
    <x v="0"/>
    <n v="2"/>
    <n v="131318"/>
    <x v="1"/>
    <n v="574"/>
    <s v="Own"/>
    <n v="3"/>
    <n v="636"/>
    <x v="0"/>
    <x v="4"/>
    <x v="88"/>
    <n v="48"/>
    <n v="10.56"/>
    <n v="440.88"/>
    <n v="9.8000000000000007"/>
    <x v="3"/>
    <s v="Default"/>
    <n v="49"/>
    <x v="1"/>
    <n v="0"/>
    <n v="17200"/>
  </r>
  <r>
    <s v="LN-00351"/>
    <s v="BRW-0291"/>
    <d v="2024-10-10T00:00:00"/>
    <n v="32"/>
    <s v="CT"/>
    <s v="Bachelor"/>
    <x v="1"/>
    <n v="11"/>
    <n v="101722"/>
    <x v="2"/>
    <n v="648"/>
    <s v="Rent"/>
    <n v="2"/>
    <n v="1097"/>
    <x v="1"/>
    <x v="6"/>
    <x v="251"/>
    <n v="60"/>
    <n v="12.42"/>
    <n v="586.13"/>
    <n v="19.899999999999999"/>
    <x v="3"/>
    <s v="Current"/>
    <n v="0"/>
    <x v="0"/>
    <n v="16208.100000000002"/>
    <n v="0"/>
  </r>
  <r>
    <s v="LN-00352"/>
    <s v="BRW-0292"/>
    <d v="2024-10-08T00:00:00"/>
    <n v="39"/>
    <s v="MI"/>
    <s v="High School"/>
    <x v="1"/>
    <n v="1"/>
    <n v="25301"/>
    <x v="3"/>
    <n v="609"/>
    <s v="Mortgage"/>
    <n v="2"/>
    <n v="901"/>
    <x v="1"/>
    <x v="7"/>
    <x v="126"/>
    <n v="36"/>
    <n v="11.36"/>
    <n v="414.66"/>
    <n v="62.4"/>
    <x v="2"/>
    <s v="Default"/>
    <n v="65"/>
    <x v="1"/>
    <n v="0"/>
    <n v="12600"/>
  </r>
  <r>
    <s v="LN-00353"/>
    <s v="BRW-0293"/>
    <d v="2024-12-20T00:00:00"/>
    <n v="49"/>
    <s v="GA"/>
    <s v="Bachelor"/>
    <x v="0"/>
    <n v="2"/>
    <n v="40669"/>
    <x v="1"/>
    <n v="774"/>
    <s v="Own"/>
    <n v="1"/>
    <n v="923"/>
    <x v="3"/>
    <x v="2"/>
    <x v="225"/>
    <n v="36"/>
    <n v="8.51"/>
    <n v="75.77"/>
    <n v="29.5"/>
    <x v="4"/>
    <s v="Current"/>
    <n v="0"/>
    <x v="0"/>
    <n v="612.71999999999991"/>
    <n v="0"/>
  </r>
  <r>
    <s v="LN-00354"/>
    <s v="BRW-0293"/>
    <d v="2024-06-01T00:00:00"/>
    <n v="49"/>
    <s v="GA"/>
    <s v="Bachelor"/>
    <x v="0"/>
    <n v="2"/>
    <n v="40669"/>
    <x v="1"/>
    <n v="774"/>
    <s v="Own"/>
    <n v="1"/>
    <n v="923"/>
    <x v="3"/>
    <x v="9"/>
    <x v="142"/>
    <n v="60"/>
    <n v="12.05"/>
    <n v="57.9"/>
    <n v="28.9"/>
    <x v="4"/>
    <s v="Paid Off"/>
    <n v="0"/>
    <x v="0"/>
    <n v="1566.5"/>
    <n v="0"/>
  </r>
  <r>
    <s v="LN-00355"/>
    <s v="BRW-0294"/>
    <d v="2025-04-17T00:00:00"/>
    <n v="22"/>
    <s v="NY"/>
    <s v="Bachelor"/>
    <x v="2"/>
    <n v="2"/>
    <n v="103644"/>
    <x v="1"/>
    <n v="761"/>
    <s v="Own"/>
    <n v="0"/>
    <n v="817"/>
    <x v="3"/>
    <x v="7"/>
    <x v="252"/>
    <n v="48"/>
    <n v="10.93"/>
    <n v="1024.72"/>
    <n v="21.3"/>
    <x v="4"/>
    <s v="Paid Off"/>
    <n v="0"/>
    <x v="0"/>
    <n v="17356.84"/>
    <n v="0"/>
  </r>
  <r>
    <s v="LN-00356"/>
    <s v="BRW-0295"/>
    <d v="2024-05-22T00:00:00"/>
    <n v="28"/>
    <s v="MN"/>
    <s v="High School"/>
    <x v="1"/>
    <n v="2"/>
    <n v="32933"/>
    <x v="1"/>
    <n v="720"/>
    <s v="Mortgage"/>
    <n v="0"/>
    <n v="865"/>
    <x v="2"/>
    <x v="1"/>
    <x v="159"/>
    <n v="60"/>
    <n v="8.15"/>
    <n v="189.24"/>
    <n v="38.4"/>
    <x v="1"/>
    <s v="Paid Off"/>
    <n v="0"/>
    <x v="0"/>
    <n v="3789.75"/>
    <n v="0"/>
  </r>
  <r>
    <s v="LN-00357"/>
    <s v="BRW-0296"/>
    <d v="2024-11-02T00:00:00"/>
    <n v="22"/>
    <s v="UT"/>
    <s v="Bachelor"/>
    <x v="1"/>
    <n v="2"/>
    <n v="63005"/>
    <x v="1"/>
    <n v="644"/>
    <s v="Rent"/>
    <n v="1"/>
    <n v="2064"/>
    <x v="1"/>
    <x v="4"/>
    <x v="141"/>
    <n v="48"/>
    <n v="13.08"/>
    <n v="534.66"/>
    <n v="49.5"/>
    <x v="0"/>
    <s v="Paid Off"/>
    <n v="0"/>
    <x v="0"/>
    <n v="10411.68"/>
    <n v="0"/>
  </r>
  <r>
    <s v="LN-00358"/>
    <s v="BRW-0297"/>
    <d v="2025-02-04T00:00:00"/>
    <n v="35"/>
    <s v="AZ"/>
    <s v="High School"/>
    <x v="1"/>
    <n v="12"/>
    <n v="48886"/>
    <x v="2"/>
    <n v="831"/>
    <s v="Mortgage"/>
    <n v="1"/>
    <n v="488"/>
    <x v="3"/>
    <x v="5"/>
    <x v="185"/>
    <n v="60"/>
    <n v="9.3000000000000007"/>
    <n v="1038.94"/>
    <n v="37.5"/>
    <x v="1"/>
    <s v="Current"/>
    <n v="0"/>
    <x v="0"/>
    <n v="23110.5"/>
    <n v="0"/>
  </r>
  <r>
    <s v="LN-00359"/>
    <s v="BRW-0297"/>
    <d v="2025-04-07T00:00:00"/>
    <n v="35"/>
    <s v="AZ"/>
    <s v="High School"/>
    <x v="1"/>
    <n v="12"/>
    <n v="48886"/>
    <x v="2"/>
    <n v="831"/>
    <s v="Mortgage"/>
    <n v="1"/>
    <n v="488"/>
    <x v="3"/>
    <x v="2"/>
    <x v="253"/>
    <n v="36"/>
    <n v="9"/>
    <n v="597.83000000000004"/>
    <n v="26.7"/>
    <x v="4"/>
    <s v="Current"/>
    <n v="0"/>
    <x v="0"/>
    <n v="5076"/>
    <n v="0"/>
  </r>
  <r>
    <s v="LN-00360"/>
    <s v="BRW-0298"/>
    <d v="2024-07-22T00:00:00"/>
    <n v="39"/>
    <s v="SC"/>
    <s v="Bachelor"/>
    <x v="1"/>
    <n v="9"/>
    <n v="78943"/>
    <x v="0"/>
    <n v="846"/>
    <s v="Rent"/>
    <n v="0"/>
    <n v="3115"/>
    <x v="3"/>
    <x v="5"/>
    <x v="254"/>
    <n v="48"/>
    <n v="6.03"/>
    <n v="446.48"/>
    <n v="54.1"/>
    <x v="0"/>
    <s v="Default"/>
    <n v="128"/>
    <x v="1"/>
    <n v="0"/>
    <n v="19000"/>
  </r>
  <r>
    <s v="LN-00361"/>
    <s v="BRW-0299"/>
    <d v="2025-06-14T00:00:00"/>
    <n v="41"/>
    <s v="KY"/>
    <s v="Associate"/>
    <x v="3"/>
    <n v="9"/>
    <n v="20963"/>
    <x v="0"/>
    <n v="725"/>
    <s v="Mortgage"/>
    <n v="3"/>
    <n v="921"/>
    <x v="2"/>
    <x v="7"/>
    <x v="203"/>
    <n v="48"/>
    <n v="8.1999999999999993"/>
    <n v="198.51"/>
    <n v="64.099999999999994"/>
    <x v="2"/>
    <s v="Default"/>
    <n v="113"/>
    <x v="1"/>
    <n v="0"/>
    <n v="8100"/>
  </r>
  <r>
    <s v="LN-00362"/>
    <s v="BRW-0300"/>
    <d v="2025-05-04T00:00:00"/>
    <n v="53"/>
    <s v="CA"/>
    <s v="Bachelor"/>
    <x v="1"/>
    <n v="33"/>
    <n v="81309"/>
    <x v="2"/>
    <n v="576"/>
    <s v="Rent"/>
    <n v="4"/>
    <n v="3502"/>
    <x v="0"/>
    <x v="1"/>
    <x v="255"/>
    <n v="24"/>
    <n v="13.08"/>
    <n v="2355.1799999999998"/>
    <n v="86.4"/>
    <x v="2"/>
    <s v="Paid Off"/>
    <n v="0"/>
    <x v="0"/>
    <n v="12949.2"/>
    <n v="0"/>
  </r>
  <r>
    <s v="LN-00363"/>
    <s v="BRW-0300"/>
    <d v="2025-05-01T00:00:00"/>
    <n v="53"/>
    <s v="CA"/>
    <s v="Bachelor"/>
    <x v="1"/>
    <n v="33"/>
    <n v="81309"/>
    <x v="2"/>
    <n v="576"/>
    <s v="Rent"/>
    <n v="4"/>
    <n v="3502"/>
    <x v="0"/>
    <x v="7"/>
    <x v="3"/>
    <n v="48"/>
    <n v="14.49"/>
    <n v="253.67"/>
    <n v="55.4"/>
    <x v="0"/>
    <s v="Default"/>
    <n v="177"/>
    <x v="1"/>
    <n v="0"/>
    <n v="9200"/>
  </r>
  <r>
    <s v="LN-00364"/>
    <s v="BRW-0301"/>
    <d v="2024-01-08T00:00:00"/>
    <n v="30"/>
    <s v="TN"/>
    <s v="Bachelor"/>
    <x v="2"/>
    <n v="10"/>
    <n v="67451"/>
    <x v="0"/>
    <n v="814"/>
    <s v="Own"/>
    <n v="4"/>
    <n v="2446"/>
    <x v="3"/>
    <x v="9"/>
    <x v="206"/>
    <n v="48"/>
    <n v="7.81"/>
    <n v="651.88"/>
    <n v="55.1"/>
    <x v="0"/>
    <s v="Paid Off"/>
    <n v="0"/>
    <x v="0"/>
    <n v="8372.32"/>
    <n v="0"/>
  </r>
  <r>
    <s v="LN-00365"/>
    <s v="BRW-0301"/>
    <d v="2025-04-16T00:00:00"/>
    <n v="30"/>
    <s v="TN"/>
    <s v="Bachelor"/>
    <x v="2"/>
    <n v="10"/>
    <n v="67451"/>
    <x v="0"/>
    <n v="814"/>
    <s v="Own"/>
    <n v="4"/>
    <n v="2446"/>
    <x v="3"/>
    <x v="9"/>
    <x v="82"/>
    <n v="60"/>
    <n v="10.83"/>
    <n v="589.09"/>
    <n v="54"/>
    <x v="0"/>
    <s v="Current"/>
    <n v="0"/>
    <x v="0"/>
    <n v="14728.800000000001"/>
    <n v="0"/>
  </r>
  <r>
    <s v="LN-00366"/>
    <s v="BRW-0302"/>
    <d v="2024-06-28T00:00:00"/>
    <n v="23"/>
    <s v="CO"/>
    <s v="Bachelor"/>
    <x v="1"/>
    <n v="3"/>
    <n v="54364"/>
    <x v="1"/>
    <n v="560"/>
    <s v="Mortgage"/>
    <n v="2"/>
    <n v="1964"/>
    <x v="0"/>
    <x v="0"/>
    <x v="191"/>
    <n v="36"/>
    <n v="12.62"/>
    <n v="1109.22"/>
    <n v="67.8"/>
    <x v="2"/>
    <s v="Default"/>
    <n v="75"/>
    <x v="1"/>
    <n v="0"/>
    <n v="33100"/>
  </r>
  <r>
    <s v="LN-00367"/>
    <s v="BRW-0303"/>
    <d v="2024-04-07T00:00:00"/>
    <n v="49"/>
    <s v="MI"/>
    <s v="Master"/>
    <x v="1"/>
    <n v="4"/>
    <n v="100637"/>
    <x v="1"/>
    <n v="850"/>
    <s v="Mortgage"/>
    <n v="0"/>
    <n v="4280"/>
    <x v="3"/>
    <x v="1"/>
    <x v="133"/>
    <n v="24"/>
    <n v="9.33"/>
    <n v="2094.7199999999998"/>
    <n v="76"/>
    <x v="2"/>
    <s v="Late"/>
    <n v="15"/>
    <x v="0"/>
    <n v="8527.619999999999"/>
    <n v="0"/>
  </r>
  <r>
    <s v="LN-00368"/>
    <s v="BRW-0303"/>
    <d v="2024-03-09T00:00:00"/>
    <n v="49"/>
    <s v="MI"/>
    <s v="Master"/>
    <x v="1"/>
    <n v="4"/>
    <n v="100637"/>
    <x v="1"/>
    <n v="850"/>
    <s v="Mortgage"/>
    <n v="0"/>
    <n v="4280"/>
    <x v="3"/>
    <x v="5"/>
    <x v="184"/>
    <n v="36"/>
    <n v="9.17"/>
    <n v="1023.31"/>
    <n v="63.2"/>
    <x v="2"/>
    <s v="Current"/>
    <n v="0"/>
    <x v="0"/>
    <n v="8830.7100000000009"/>
    <n v="0"/>
  </r>
  <r>
    <s v="LN-00369"/>
    <s v="BRW-0304"/>
    <d v="2024-11-29T00:00:00"/>
    <n v="31"/>
    <s v="AZ"/>
    <s v="Bachelor"/>
    <x v="1"/>
    <n v="1"/>
    <n v="81067"/>
    <x v="3"/>
    <n v="850"/>
    <s v="Mortgage"/>
    <n v="2"/>
    <n v="3196"/>
    <x v="3"/>
    <x v="2"/>
    <x v="256"/>
    <n v="12"/>
    <n v="8.36"/>
    <n v="1272.46"/>
    <n v="66.099999999999994"/>
    <x v="2"/>
    <s v="Current"/>
    <n v="0"/>
    <x v="0"/>
    <n v="1220.56"/>
    <n v="0"/>
  </r>
  <r>
    <s v="LN-00370"/>
    <s v="BRW-0305"/>
    <d v="2025-02-12T00:00:00"/>
    <n v="25"/>
    <s v="MN"/>
    <s v="Associate"/>
    <x v="4"/>
    <n v="4"/>
    <n v="20854"/>
    <x v="1"/>
    <n v="838"/>
    <s v="Own"/>
    <n v="2"/>
    <n v="730"/>
    <x v="3"/>
    <x v="8"/>
    <x v="195"/>
    <n v="48"/>
    <n v="7.94"/>
    <n v="151.19"/>
    <n v="50.7"/>
    <x v="0"/>
    <s v="Current"/>
    <n v="0"/>
    <x v="0"/>
    <n v="1969.12"/>
    <n v="0"/>
  </r>
  <r>
    <s v="LN-00371"/>
    <s v="BRW-0306"/>
    <d v="2024-03-25T00:00:00"/>
    <n v="29"/>
    <s v="KY"/>
    <s v="High School"/>
    <x v="1"/>
    <n v="5"/>
    <n v="22799"/>
    <x v="1"/>
    <n v="779"/>
    <s v="Mortgage"/>
    <n v="3"/>
    <n v="341"/>
    <x v="3"/>
    <x v="5"/>
    <x v="257"/>
    <n v="48"/>
    <n v="9.32"/>
    <n v="307.95999999999998"/>
    <n v="34.200000000000003"/>
    <x v="4"/>
    <s v="Paid Off"/>
    <n v="0"/>
    <x v="0"/>
    <n v="4585.4400000000005"/>
    <n v="0"/>
  </r>
  <r>
    <s v="LN-00372"/>
    <s v="BRW-0307"/>
    <d v="2024-06-30T00:00:00"/>
    <n v="45"/>
    <s v="NJ"/>
    <s v="High School"/>
    <x v="0"/>
    <n v="24"/>
    <n v="31860"/>
    <x v="2"/>
    <n v="585"/>
    <s v="Rent"/>
    <n v="3"/>
    <n v="493"/>
    <x v="0"/>
    <x v="3"/>
    <x v="241"/>
    <n v="12"/>
    <n v="13.28"/>
    <n v="787.15"/>
    <n v="48.2"/>
    <x v="0"/>
    <s v="Default"/>
    <n v="166"/>
    <x v="1"/>
    <n v="0"/>
    <n v="8800"/>
  </r>
  <r>
    <s v="LN-00373"/>
    <s v="BRW-0308"/>
    <d v="2025-01-01T00:00:00"/>
    <n v="26"/>
    <s v="TX"/>
    <s v="Associate"/>
    <x v="4"/>
    <n v="3"/>
    <n v="35035"/>
    <x v="1"/>
    <n v="779"/>
    <s v="Mortgage"/>
    <n v="1"/>
    <n v="973"/>
    <x v="3"/>
    <x v="5"/>
    <x v="47"/>
    <n v="36"/>
    <n v="7.78"/>
    <n v="343.58"/>
    <n v="45.1"/>
    <x v="0"/>
    <s v="Paid Off"/>
    <n v="0"/>
    <x v="0"/>
    <n v="2567.4"/>
    <n v="0"/>
  </r>
  <r>
    <s v="LN-00374"/>
    <s v="BRW-0309"/>
    <d v="2024-04-15T00:00:00"/>
    <n v="45"/>
    <s v="CA"/>
    <s v="High School"/>
    <x v="0"/>
    <n v="7"/>
    <n v="53878"/>
    <x v="0"/>
    <n v="589"/>
    <s v="Rent"/>
    <n v="0"/>
    <n v="2161"/>
    <x v="0"/>
    <x v="0"/>
    <x v="258"/>
    <n v="60"/>
    <n v="13.39"/>
    <n v="968.63"/>
    <n v="69.7"/>
    <x v="2"/>
    <s v="Default"/>
    <n v="108"/>
    <x v="1"/>
    <n v="0"/>
    <n v="42200"/>
  </r>
  <r>
    <s v="LN-00375"/>
    <s v="BRW-0310"/>
    <d v="2025-01-18T00:00:00"/>
    <n v="37"/>
    <s v="UT"/>
    <s v="High School"/>
    <x v="1"/>
    <n v="1"/>
    <n v="54791"/>
    <x v="3"/>
    <n v="621"/>
    <s v="Mortgage"/>
    <n v="2"/>
    <n v="1725"/>
    <x v="1"/>
    <x v="9"/>
    <x v="102"/>
    <n v="24"/>
    <n v="14.29"/>
    <n v="645.21"/>
    <n v="51.9"/>
    <x v="0"/>
    <s v="Current"/>
    <n v="0"/>
    <x v="0"/>
    <n v="3829.72"/>
    <n v="0"/>
  </r>
  <r>
    <s v="LN-00376"/>
    <s v="BRW-0311"/>
    <d v="2024-04-08T00:00:00"/>
    <n v="36"/>
    <s v="FL"/>
    <s v="Associate"/>
    <x v="1"/>
    <n v="2"/>
    <n v="62677"/>
    <x v="1"/>
    <n v="673"/>
    <s v="Mortgage"/>
    <n v="1"/>
    <n v="2616"/>
    <x v="4"/>
    <x v="8"/>
    <x v="186"/>
    <n v="12"/>
    <n v="9.89"/>
    <n v="887.43"/>
    <n v="67.099999999999994"/>
    <x v="2"/>
    <s v="Current"/>
    <n v="0"/>
    <x v="0"/>
    <n v="998.89"/>
    <n v="0"/>
  </r>
  <r>
    <s v="LN-00377"/>
    <s v="BRW-0312"/>
    <d v="2024-07-13T00:00:00"/>
    <n v="33"/>
    <s v="OK"/>
    <s v="Associate"/>
    <x v="1"/>
    <n v="1"/>
    <n v="31521"/>
    <x v="3"/>
    <n v="730"/>
    <s v="Rent"/>
    <n v="0"/>
    <n v="1240"/>
    <x v="2"/>
    <x v="1"/>
    <x v="259"/>
    <n v="36"/>
    <n v="10.64"/>
    <n v="778.39"/>
    <n v="76.8"/>
    <x v="2"/>
    <s v="Late"/>
    <n v="15"/>
    <x v="0"/>
    <n v="7628.88"/>
    <n v="0"/>
  </r>
  <r>
    <s v="LN-00378"/>
    <s v="BRW-0313"/>
    <d v="2024-11-19T00:00:00"/>
    <n v="42"/>
    <s v="AL"/>
    <s v="High School"/>
    <x v="1"/>
    <n v="18"/>
    <n v="35385"/>
    <x v="2"/>
    <n v="674"/>
    <s v="Rent"/>
    <n v="2"/>
    <n v="831"/>
    <x v="4"/>
    <x v="7"/>
    <x v="260"/>
    <n v="24"/>
    <n v="8.84"/>
    <n v="378.57"/>
    <n v="41"/>
    <x v="1"/>
    <s v="Default"/>
    <n v="84"/>
    <x v="1"/>
    <n v="0"/>
    <n v="8300"/>
  </r>
  <r>
    <s v="LN-00379"/>
    <s v="BRW-0314"/>
    <d v="2024-03-09T00:00:00"/>
    <n v="59"/>
    <s v="UT"/>
    <s v="Doctorate"/>
    <x v="4"/>
    <n v="15"/>
    <n v="88548"/>
    <x v="2"/>
    <n v="819"/>
    <s v="Own"/>
    <n v="1"/>
    <n v="1228"/>
    <x v="3"/>
    <x v="6"/>
    <x v="73"/>
    <n v="60"/>
    <n v="8.19"/>
    <n v="313.66000000000003"/>
    <n v="20.9"/>
    <x v="4"/>
    <s v="Paid Off"/>
    <n v="0"/>
    <x v="0"/>
    <n v="6306.3"/>
    <n v="0"/>
  </r>
  <r>
    <s v="LN-00380"/>
    <s v="BRW-0315"/>
    <d v="2024-04-07T00:00:00"/>
    <n v="44"/>
    <s v="WA"/>
    <s v="Bachelor"/>
    <x v="0"/>
    <n v="0"/>
    <n v="41212"/>
    <x v="3"/>
    <n v="701"/>
    <s v="Rent"/>
    <n v="3"/>
    <n v="1420"/>
    <x v="2"/>
    <x v="6"/>
    <x v="261"/>
    <n v="60"/>
    <n v="9.17"/>
    <n v="794.04"/>
    <n v="64.5"/>
    <x v="2"/>
    <s v="Late"/>
    <n v="30"/>
    <x v="0"/>
    <n v="17468.849999999999"/>
    <n v="0"/>
  </r>
  <r>
    <s v="LN-00381"/>
    <s v="BRW-0316"/>
    <d v="2025-05-08T00:00:00"/>
    <n v="28"/>
    <s v="NY"/>
    <s v="Associate"/>
    <x v="4"/>
    <n v="2"/>
    <n v="29277"/>
    <x v="1"/>
    <n v="555"/>
    <s v="Rent"/>
    <n v="0"/>
    <n v="404"/>
    <x v="0"/>
    <x v="5"/>
    <x v="23"/>
    <n v="36"/>
    <n v="15.64"/>
    <n v="479.22"/>
    <n v="36.200000000000003"/>
    <x v="1"/>
    <s v="Default"/>
    <n v="34"/>
    <x v="1"/>
    <n v="0"/>
    <n v="13700"/>
  </r>
  <r>
    <s v="LN-00382"/>
    <s v="BRW-0317"/>
    <d v="2024-01-14T00:00:00"/>
    <n v="55"/>
    <s v="CO"/>
    <s v="Bachelor"/>
    <x v="2"/>
    <n v="6"/>
    <n v="69849"/>
    <x v="0"/>
    <n v="578"/>
    <s v="Mortgage"/>
    <n v="3"/>
    <n v="508"/>
    <x v="0"/>
    <x v="9"/>
    <x v="262"/>
    <n v="24"/>
    <n v="12.88"/>
    <n v="1258.3699999999999"/>
    <n v="30.3"/>
    <x v="4"/>
    <s v="Default"/>
    <n v="61"/>
    <x v="1"/>
    <n v="0"/>
    <n v="26500"/>
  </r>
  <r>
    <s v="LN-00383"/>
    <s v="BRW-0318"/>
    <d v="2025-05-25T00:00:00"/>
    <n v="58"/>
    <s v="UT"/>
    <s v="High School"/>
    <x v="0"/>
    <n v="16"/>
    <n v="27000"/>
    <x v="2"/>
    <n v="674"/>
    <s v="Rent"/>
    <n v="3"/>
    <n v="900"/>
    <x v="4"/>
    <x v="1"/>
    <x v="263"/>
    <n v="12"/>
    <n v="9.4499999999999993"/>
    <n v="1840.87"/>
    <n v="121.8"/>
    <x v="2"/>
    <s v="Current"/>
    <n v="0"/>
    <x v="0"/>
    <n v="1984.4999999999998"/>
    <n v="0"/>
  </r>
  <r>
    <s v="LN-00384"/>
    <s v="BRW-0319"/>
    <d v="2024-11-21T00:00:00"/>
    <n v="42"/>
    <s v="MD"/>
    <s v="Associate"/>
    <x v="1"/>
    <n v="4"/>
    <n v="32850"/>
    <x v="1"/>
    <n v="628"/>
    <s v="Rent"/>
    <n v="0"/>
    <n v="281"/>
    <x v="1"/>
    <x v="9"/>
    <x v="214"/>
    <n v="36"/>
    <n v="10.199999999999999"/>
    <n v="737.83"/>
    <n v="37.200000000000003"/>
    <x v="1"/>
    <s v="Current"/>
    <n v="0"/>
    <x v="0"/>
    <n v="6976.7999999999993"/>
    <n v="0"/>
  </r>
  <r>
    <s v="LN-00385"/>
    <s v="BRW-0320"/>
    <d v="2024-07-29T00:00:00"/>
    <n v="50"/>
    <s v="NC"/>
    <s v="Bachelor"/>
    <x v="1"/>
    <n v="14"/>
    <n v="74791"/>
    <x v="2"/>
    <n v="641"/>
    <s v="Mortgage"/>
    <n v="3"/>
    <n v="593"/>
    <x v="1"/>
    <x v="3"/>
    <x v="264"/>
    <n v="36"/>
    <n v="11.03"/>
    <n v="425.79"/>
    <n v="16.3"/>
    <x v="3"/>
    <s v="Late"/>
    <n v="15"/>
    <x v="0"/>
    <n v="4301.7"/>
    <n v="0"/>
  </r>
  <r>
    <s v="LN-00386"/>
    <s v="BRW-0320"/>
    <d v="2025-01-25T00:00:00"/>
    <n v="50"/>
    <s v="NC"/>
    <s v="Bachelor"/>
    <x v="1"/>
    <n v="14"/>
    <n v="74791"/>
    <x v="2"/>
    <n v="641"/>
    <s v="Mortgage"/>
    <n v="3"/>
    <n v="593"/>
    <x v="1"/>
    <x v="7"/>
    <x v="265"/>
    <n v="24"/>
    <n v="12.36"/>
    <n v="1672.36"/>
    <n v="36.299999999999997"/>
    <x v="1"/>
    <s v="Late"/>
    <n v="0"/>
    <x v="0"/>
    <n v="8750.8799999999992"/>
    <n v="0"/>
  </r>
  <r>
    <s v="LN-00387"/>
    <s v="BRW-0321"/>
    <d v="2024-05-08T00:00:00"/>
    <n v="65"/>
    <s v="SC"/>
    <s v="Associate"/>
    <x v="0"/>
    <n v="20"/>
    <n v="57272"/>
    <x v="2"/>
    <n v="640"/>
    <s v="Own"/>
    <n v="0"/>
    <n v="1087"/>
    <x v="1"/>
    <x v="0"/>
    <x v="72"/>
    <n v="24"/>
    <n v="14.02"/>
    <n v="278.52999999999997"/>
    <n v="28.6"/>
    <x v="4"/>
    <s v="Default"/>
    <n v="170"/>
    <x v="1"/>
    <n v="0"/>
    <n v="5800"/>
  </r>
  <r>
    <s v="LN-00388"/>
    <s v="BRW-0322"/>
    <d v="2024-07-21T00:00:00"/>
    <n v="54"/>
    <s v="OK"/>
    <s v="High School"/>
    <x v="1"/>
    <n v="1"/>
    <n v="51267"/>
    <x v="3"/>
    <n v="619"/>
    <s v="Rent"/>
    <n v="1"/>
    <n v="1811"/>
    <x v="1"/>
    <x v="7"/>
    <x v="123"/>
    <n v="48"/>
    <n v="11.24"/>
    <n v="109.04"/>
    <n v="44.9"/>
    <x v="1"/>
    <s v="Default"/>
    <n v="75"/>
    <x v="1"/>
    <n v="0"/>
    <n v="4200"/>
  </r>
  <r>
    <s v="LN-00389"/>
    <s v="BRW-0322"/>
    <d v="2024-07-25T00:00:00"/>
    <n v="54"/>
    <s v="OK"/>
    <s v="High School"/>
    <x v="1"/>
    <n v="1"/>
    <n v="51267"/>
    <x v="3"/>
    <n v="619"/>
    <s v="Rent"/>
    <n v="1"/>
    <n v="1811"/>
    <x v="1"/>
    <x v="9"/>
    <x v="117"/>
    <n v="48"/>
    <n v="14.52"/>
    <n v="281.39999999999998"/>
    <n v="49"/>
    <x v="0"/>
    <s v="Default"/>
    <n v="153"/>
    <x v="1"/>
    <n v="0"/>
    <n v="10200"/>
  </r>
  <r>
    <s v="LN-00390"/>
    <s v="BRW-0323"/>
    <d v="2025-03-19T00:00:00"/>
    <n v="37"/>
    <s v="LA"/>
    <s v="High School"/>
    <x v="1"/>
    <n v="0"/>
    <n v="50342"/>
    <x v="3"/>
    <n v="592"/>
    <s v="Own"/>
    <n v="4"/>
    <n v="483"/>
    <x v="0"/>
    <x v="4"/>
    <x v="79"/>
    <n v="48"/>
    <n v="12.25"/>
    <n v="216.95"/>
    <n v="16.7"/>
    <x v="3"/>
    <s v="Paid Off"/>
    <n v="0"/>
    <x v="0"/>
    <n v="4018"/>
    <n v="0"/>
  </r>
  <r>
    <s v="LN-00391"/>
    <s v="BRW-0324"/>
    <d v="2024-06-05T00:00:00"/>
    <n v="47"/>
    <s v="OR"/>
    <s v="Bachelor"/>
    <x v="3"/>
    <n v="18"/>
    <n v="44951"/>
    <x v="2"/>
    <n v="828"/>
    <s v="Mortgage"/>
    <n v="0"/>
    <n v="2054"/>
    <x v="3"/>
    <x v="1"/>
    <x v="86"/>
    <n v="36"/>
    <n v="9.18"/>
    <n v="156.22999999999999"/>
    <n v="59"/>
    <x v="0"/>
    <s v="Current"/>
    <n v="0"/>
    <x v="0"/>
    <n v="1349.4599999999998"/>
    <n v="0"/>
  </r>
  <r>
    <s v="LN-00392"/>
    <s v="BRW-0325"/>
    <d v="2025-04-25T00:00:00"/>
    <n v="34"/>
    <s v="MA"/>
    <s v="Master"/>
    <x v="1"/>
    <n v="1"/>
    <n v="65650"/>
    <x v="3"/>
    <n v="704"/>
    <s v="Own"/>
    <n v="0"/>
    <n v="2801"/>
    <x v="2"/>
    <x v="3"/>
    <x v="198"/>
    <n v="12"/>
    <n v="9.93"/>
    <n v="2689.23"/>
    <n v="100.4"/>
    <x v="2"/>
    <s v="Default"/>
    <n v="78"/>
    <x v="1"/>
    <n v="0"/>
    <n v="30600"/>
  </r>
  <r>
    <s v="LN-00393"/>
    <s v="BRW-0326"/>
    <d v="2025-02-08T00:00:00"/>
    <n v="49"/>
    <s v="UT"/>
    <s v="Master"/>
    <x v="1"/>
    <n v="5"/>
    <n v="57129"/>
    <x v="1"/>
    <n v="748"/>
    <s v="Mortgage"/>
    <n v="0"/>
    <n v="904"/>
    <x v="2"/>
    <x v="2"/>
    <x v="266"/>
    <n v="48"/>
    <n v="12.16"/>
    <n v="528.25"/>
    <n v="30.1"/>
    <x v="4"/>
    <s v="Current"/>
    <n v="0"/>
    <x v="0"/>
    <n v="9728"/>
    <n v="0"/>
  </r>
  <r>
    <s v="LN-00394"/>
    <s v="BRW-0327"/>
    <d v="2024-06-15T00:00:00"/>
    <n v="31"/>
    <s v="MO"/>
    <s v="High School"/>
    <x v="3"/>
    <n v="7"/>
    <n v="17078"/>
    <x v="0"/>
    <n v="671"/>
    <s v="Mortgage"/>
    <n v="1"/>
    <n v="133"/>
    <x v="4"/>
    <x v="9"/>
    <x v="201"/>
    <n v="12"/>
    <n v="10.74"/>
    <n v="538.39"/>
    <n v="47.2"/>
    <x v="0"/>
    <s v="Default"/>
    <n v="141"/>
    <x v="1"/>
    <n v="0"/>
    <n v="6100"/>
  </r>
  <r>
    <s v="LN-00395"/>
    <s v="BRW-0328"/>
    <d v="2025-01-29T00:00:00"/>
    <n v="46"/>
    <s v="KY"/>
    <s v="High School"/>
    <x v="1"/>
    <n v="7"/>
    <n v="53539"/>
    <x v="0"/>
    <n v="799"/>
    <s v="Mortgage"/>
    <n v="1"/>
    <n v="266"/>
    <x v="3"/>
    <x v="4"/>
    <x v="267"/>
    <n v="36"/>
    <n v="10.17"/>
    <n v="805.44"/>
    <n v="24"/>
    <x v="4"/>
    <s v="Current"/>
    <n v="0"/>
    <x v="0"/>
    <n v="7596.99"/>
    <n v="0"/>
  </r>
  <r>
    <s v="LN-00396"/>
    <s v="BRW-0328"/>
    <d v="2024-05-31T00:00:00"/>
    <n v="46"/>
    <s v="KY"/>
    <s v="High School"/>
    <x v="1"/>
    <n v="7"/>
    <n v="53539"/>
    <x v="0"/>
    <n v="799"/>
    <s v="Mortgage"/>
    <n v="1"/>
    <n v="266"/>
    <x v="3"/>
    <x v="8"/>
    <x v="144"/>
    <n v="12"/>
    <n v="10.17"/>
    <n v="1698.3"/>
    <n v="44"/>
    <x v="1"/>
    <s v="Late"/>
    <n v="0"/>
    <x v="0"/>
    <n v="1962.81"/>
    <n v="0"/>
  </r>
  <r>
    <s v="LN-00397"/>
    <s v="BRW-0329"/>
    <d v="2024-04-04T00:00:00"/>
    <n v="46"/>
    <s v="IN"/>
    <s v="Master"/>
    <x v="1"/>
    <n v="11"/>
    <n v="101319"/>
    <x v="2"/>
    <n v="793"/>
    <s v="Rent"/>
    <n v="1"/>
    <n v="1563"/>
    <x v="3"/>
    <x v="9"/>
    <x v="268"/>
    <n v="24"/>
    <n v="6.85"/>
    <n v="1511.02"/>
    <n v="36.4"/>
    <x v="1"/>
    <s v="Late"/>
    <n v="15"/>
    <x v="0"/>
    <n v="4630.5999999999995"/>
    <n v="0"/>
  </r>
  <r>
    <s v="LN-00398"/>
    <s v="BRW-0330"/>
    <d v="2025-03-13T00:00:00"/>
    <n v="23"/>
    <s v="TN"/>
    <s v="Associate"/>
    <x v="1"/>
    <n v="0"/>
    <n v="70784"/>
    <x v="3"/>
    <n v="678"/>
    <s v="Rent"/>
    <n v="1"/>
    <n v="2556"/>
    <x v="4"/>
    <x v="6"/>
    <x v="269"/>
    <n v="48"/>
    <n v="9.5299999999999994"/>
    <n v="279.02999999999997"/>
    <n v="48.1"/>
    <x v="0"/>
    <s v="Default"/>
    <n v="107"/>
    <x v="1"/>
    <n v="0"/>
    <n v="11100"/>
  </r>
  <r>
    <s v="LN-00399"/>
    <s v="BRW-0331"/>
    <d v="2024-04-01T00:00:00"/>
    <n v="36"/>
    <s v="GA"/>
    <s v="Doctorate"/>
    <x v="1"/>
    <n v="1"/>
    <n v="135142"/>
    <x v="3"/>
    <n v="686"/>
    <s v="Rent"/>
    <n v="2"/>
    <n v="6096"/>
    <x v="4"/>
    <x v="2"/>
    <x v="139"/>
    <n v="36"/>
    <n v="12.24"/>
    <n v="679.91"/>
    <n v="60.2"/>
    <x v="2"/>
    <s v="Default"/>
    <n v="176"/>
    <x v="1"/>
    <n v="0"/>
    <n v="20400"/>
  </r>
  <r>
    <s v="LN-00400"/>
    <s v="BRW-0332"/>
    <d v="2025-02-11T00:00:00"/>
    <n v="46"/>
    <s v="KY"/>
    <s v="Bachelor"/>
    <x v="2"/>
    <n v="7"/>
    <n v="94525"/>
    <x v="0"/>
    <n v="630"/>
    <s v="Mortgage"/>
    <n v="2"/>
    <n v="1806"/>
    <x v="1"/>
    <x v="4"/>
    <x v="132"/>
    <n v="24"/>
    <n v="14.15"/>
    <n v="716.45"/>
    <n v="32"/>
    <x v="4"/>
    <s v="Current"/>
    <n v="0"/>
    <x v="0"/>
    <n v="4216.7000000000007"/>
    <n v="0"/>
  </r>
  <r>
    <s v="LN-00401"/>
    <s v="BRW-0333"/>
    <d v="2024-10-22T00:00:00"/>
    <n v="59"/>
    <s v="OH"/>
    <s v="High School"/>
    <x v="0"/>
    <n v="9"/>
    <n v="55754"/>
    <x v="0"/>
    <n v="818"/>
    <s v="Mortgage"/>
    <n v="3"/>
    <n v="2114"/>
    <x v="3"/>
    <x v="6"/>
    <x v="83"/>
    <n v="60"/>
    <n v="8.4499999999999993"/>
    <n v="317.63"/>
    <n v="52.3"/>
    <x v="0"/>
    <s v="Current"/>
    <n v="0"/>
    <x v="0"/>
    <n v="6548.7499999999991"/>
    <n v="0"/>
  </r>
  <r>
    <s v="LN-00402"/>
    <s v="BRW-0334"/>
    <d v="2024-08-05T00:00:00"/>
    <n v="53"/>
    <s v="CA"/>
    <s v="Bachelor"/>
    <x v="1"/>
    <n v="14"/>
    <n v="43022"/>
    <x v="2"/>
    <n v="558"/>
    <s v="Mortgage"/>
    <n v="1"/>
    <n v="180"/>
    <x v="0"/>
    <x v="7"/>
    <x v="250"/>
    <n v="12"/>
    <n v="12.95"/>
    <n v="1794.81"/>
    <n v="55.1"/>
    <x v="0"/>
    <s v="Default"/>
    <n v="45"/>
    <x v="1"/>
    <n v="0"/>
    <n v="20100"/>
  </r>
  <r>
    <s v="LN-00403"/>
    <s v="BRW-0335"/>
    <d v="2024-04-21T00:00:00"/>
    <n v="61"/>
    <s v="MD"/>
    <s v="Associate"/>
    <x v="1"/>
    <n v="3"/>
    <n v="62522"/>
    <x v="1"/>
    <n v="700"/>
    <s v="Own"/>
    <n v="2"/>
    <n v="629"/>
    <x v="2"/>
    <x v="7"/>
    <x v="233"/>
    <n v="48"/>
    <n v="10.54"/>
    <n v="889.11"/>
    <n v="29.1"/>
    <x v="4"/>
    <s v="Current"/>
    <n v="0"/>
    <x v="0"/>
    <n v="14629.519999999999"/>
    <n v="0"/>
  </r>
  <r>
    <s v="LN-00404"/>
    <s v="BRW-0336"/>
    <d v="2024-04-13T00:00:00"/>
    <n v="29"/>
    <s v="NJ"/>
    <s v="Master"/>
    <x v="2"/>
    <n v="6"/>
    <n v="137015"/>
    <x v="0"/>
    <n v="741"/>
    <s v="Mortgage"/>
    <n v="1"/>
    <n v="1349"/>
    <x v="2"/>
    <x v="3"/>
    <x v="270"/>
    <n v="24"/>
    <n v="10.039999999999999"/>
    <n v="156.96"/>
    <n v="13.2"/>
    <x v="3"/>
    <s v="Default"/>
    <n v="98"/>
    <x v="1"/>
    <n v="0"/>
    <n v="3400"/>
  </r>
  <r>
    <s v="LN-00405"/>
    <s v="BRW-0337"/>
    <d v="2025-06-18T00:00:00"/>
    <n v="32"/>
    <s v="SC"/>
    <s v="Master"/>
    <x v="1"/>
    <n v="10"/>
    <n v="109449"/>
    <x v="0"/>
    <n v="794"/>
    <s v="Mortgage"/>
    <n v="4"/>
    <n v="3618"/>
    <x v="3"/>
    <x v="8"/>
    <x v="271"/>
    <n v="12"/>
    <n v="7.25"/>
    <n v="3457.02"/>
    <n v="77.599999999999994"/>
    <x v="2"/>
    <s v="Current"/>
    <n v="0"/>
    <x v="0"/>
    <n v="2892.75"/>
    <n v="0"/>
  </r>
  <r>
    <s v="LN-00406"/>
    <s v="BRW-0338"/>
    <d v="2024-12-10T00:00:00"/>
    <n v="61"/>
    <s v="SC"/>
    <s v="Master"/>
    <x v="1"/>
    <n v="24"/>
    <n v="105131"/>
    <x v="2"/>
    <n v="634"/>
    <s v="Mortgage"/>
    <n v="0"/>
    <n v="1216"/>
    <x v="1"/>
    <x v="3"/>
    <x v="169"/>
    <n v="36"/>
    <n v="12.46"/>
    <n v="825.83"/>
    <n v="23.3"/>
    <x v="4"/>
    <s v="Late"/>
    <n v="15"/>
    <x v="0"/>
    <n v="9232.86"/>
    <n v="0"/>
  </r>
  <r>
    <s v="LN-00407"/>
    <s v="BRW-0338"/>
    <d v="2024-12-30T00:00:00"/>
    <n v="61"/>
    <s v="SC"/>
    <s v="Master"/>
    <x v="1"/>
    <n v="24"/>
    <n v="105131"/>
    <x v="2"/>
    <n v="634"/>
    <s v="Mortgage"/>
    <n v="0"/>
    <n v="1216"/>
    <x v="1"/>
    <x v="7"/>
    <x v="272"/>
    <n v="48"/>
    <n v="12.49"/>
    <n v="900.89"/>
    <n v="24.2"/>
    <x v="4"/>
    <s v="Current"/>
    <n v="0"/>
    <x v="0"/>
    <n v="16936.439999999999"/>
    <n v="0"/>
  </r>
  <r>
    <s v="LN-00408"/>
    <s v="BRW-0339"/>
    <d v="2024-05-05T00:00:00"/>
    <n v="22"/>
    <s v="NJ"/>
    <s v="Master"/>
    <x v="4"/>
    <n v="0"/>
    <n v="52919"/>
    <x v="3"/>
    <n v="820"/>
    <s v="Own"/>
    <n v="3"/>
    <n v="2353"/>
    <x v="3"/>
    <x v="1"/>
    <x v="273"/>
    <n v="24"/>
    <n v="6.46"/>
    <n v="1985.96"/>
    <n v="98.4"/>
    <x v="2"/>
    <s v="Late"/>
    <n v="0"/>
    <x v="0"/>
    <n v="5762.3200000000006"/>
    <n v="0"/>
  </r>
  <r>
    <s v="LN-00409"/>
    <s v="BRW-0339"/>
    <d v="2024-07-11T00:00:00"/>
    <n v="22"/>
    <s v="NJ"/>
    <s v="Master"/>
    <x v="4"/>
    <n v="0"/>
    <n v="52919"/>
    <x v="3"/>
    <n v="820"/>
    <s v="Own"/>
    <n v="3"/>
    <n v="2353"/>
    <x v="3"/>
    <x v="7"/>
    <x v="134"/>
    <n v="48"/>
    <n v="8.91"/>
    <n v="621.05999999999995"/>
    <n v="67.400000000000006"/>
    <x v="2"/>
    <s v="Default"/>
    <n v="112"/>
    <x v="1"/>
    <n v="0"/>
    <n v="25000"/>
  </r>
  <r>
    <s v="LN-00410"/>
    <s v="BRW-0340"/>
    <d v="2024-08-27T00:00:00"/>
    <n v="36"/>
    <s v="NJ"/>
    <s v="Bachelor"/>
    <x v="1"/>
    <n v="2"/>
    <n v="72256"/>
    <x v="1"/>
    <n v="704"/>
    <s v="Own"/>
    <n v="0"/>
    <n v="2966"/>
    <x v="2"/>
    <x v="4"/>
    <x v="137"/>
    <n v="36"/>
    <n v="11.66"/>
    <n v="1603.03"/>
    <n v="75.900000000000006"/>
    <x v="2"/>
    <s v="Late"/>
    <n v="0"/>
    <x v="0"/>
    <n v="16965.3"/>
    <n v="0"/>
  </r>
  <r>
    <s v="LN-00411"/>
    <s v="BRW-0341"/>
    <d v="2024-04-12T00:00:00"/>
    <n v="27"/>
    <s v="OH"/>
    <s v="Master"/>
    <x v="0"/>
    <n v="7"/>
    <n v="117172"/>
    <x v="0"/>
    <n v="716"/>
    <s v="Own"/>
    <n v="0"/>
    <n v="819"/>
    <x v="2"/>
    <x v="1"/>
    <x v="274"/>
    <n v="48"/>
    <n v="13"/>
    <n v="1266.26"/>
    <n v="21.4"/>
    <x v="4"/>
    <s v="Current"/>
    <n v="0"/>
    <x v="0"/>
    <n v="24544"/>
    <n v="0"/>
  </r>
  <r>
    <s v="LN-00412"/>
    <s v="BRW-0342"/>
    <d v="2025-05-24T00:00:00"/>
    <n v="38"/>
    <s v="CT"/>
    <s v="Master"/>
    <x v="0"/>
    <n v="13"/>
    <n v="58731"/>
    <x v="2"/>
    <n v="754"/>
    <s v="Rent"/>
    <n v="1"/>
    <n v="2402"/>
    <x v="3"/>
    <x v="2"/>
    <x v="252"/>
    <n v="60"/>
    <n v="7.59"/>
    <n v="797.21"/>
    <n v="65.400000000000006"/>
    <x v="2"/>
    <s v="Late"/>
    <n v="0"/>
    <x v="0"/>
    <n v="15066.15"/>
    <n v="0"/>
  </r>
  <r>
    <s v="LN-00413"/>
    <s v="BRW-0343"/>
    <d v="2024-09-03T00:00:00"/>
    <n v="44"/>
    <s v="GA"/>
    <s v="Bachelor"/>
    <x v="1"/>
    <n v="20"/>
    <n v="71191"/>
    <x v="2"/>
    <n v="830"/>
    <s v="Rent"/>
    <n v="0"/>
    <n v="515"/>
    <x v="3"/>
    <x v="0"/>
    <x v="275"/>
    <n v="12"/>
    <n v="8.58"/>
    <n v="1483.37"/>
    <n v="33.700000000000003"/>
    <x v="4"/>
    <s v="Paid Off"/>
    <n v="0"/>
    <x v="0"/>
    <n v="1458.6"/>
    <n v="0"/>
  </r>
  <r>
    <s v="LN-00414"/>
    <s v="BRW-0344"/>
    <d v="2024-11-30T00:00:00"/>
    <n v="24"/>
    <s v="WA"/>
    <s v="Associate"/>
    <x v="1"/>
    <n v="2"/>
    <n v="73366"/>
    <x v="1"/>
    <n v="572"/>
    <s v="Own"/>
    <n v="0"/>
    <n v="534"/>
    <x v="0"/>
    <x v="6"/>
    <x v="276"/>
    <n v="24"/>
    <n v="15.11"/>
    <n v="1766.82"/>
    <n v="37.6"/>
    <x v="1"/>
    <s v="Current"/>
    <n v="0"/>
    <x v="0"/>
    <n v="11000.079999999998"/>
    <n v="0"/>
  </r>
  <r>
    <s v="LN-00415"/>
    <s v="BRW-0345"/>
    <d v="2025-05-18T00:00:00"/>
    <n v="27"/>
    <s v="PA"/>
    <s v="Associate"/>
    <x v="4"/>
    <n v="6"/>
    <n v="42400"/>
    <x v="0"/>
    <n v="545"/>
    <s v="Rent"/>
    <n v="2"/>
    <n v="943"/>
    <x v="0"/>
    <x v="0"/>
    <x v="27"/>
    <n v="24"/>
    <n v="15.53"/>
    <n v="1666.87"/>
    <n v="73.900000000000006"/>
    <x v="2"/>
    <s v="Default"/>
    <n v="115"/>
    <x v="1"/>
    <n v="0"/>
    <n v="34200"/>
  </r>
  <r>
    <s v="LN-00416"/>
    <s v="BRW-0346"/>
    <d v="2025-01-25T00:00:00"/>
    <n v="25"/>
    <s v="MO"/>
    <s v="High School"/>
    <x v="1"/>
    <n v="5"/>
    <n v="29087"/>
    <x v="1"/>
    <n v="808"/>
    <s v="Rent"/>
    <n v="0"/>
    <n v="462"/>
    <x v="3"/>
    <x v="9"/>
    <x v="277"/>
    <n v="36"/>
    <n v="8.42"/>
    <n v="696.82"/>
    <n v="47.8"/>
    <x v="0"/>
    <s v="Paid Off"/>
    <n v="0"/>
    <x v="0"/>
    <n v="5582.46"/>
    <n v="0"/>
  </r>
  <r>
    <s v="LN-00417"/>
    <s v="BRW-0346"/>
    <d v="2024-04-24T00:00:00"/>
    <n v="25"/>
    <s v="MO"/>
    <s v="High School"/>
    <x v="1"/>
    <n v="5"/>
    <n v="29087"/>
    <x v="1"/>
    <n v="808"/>
    <s v="Rent"/>
    <n v="0"/>
    <n v="462"/>
    <x v="3"/>
    <x v="1"/>
    <x v="278"/>
    <n v="12"/>
    <n v="7.99"/>
    <n v="852.44"/>
    <n v="54.2"/>
    <x v="0"/>
    <s v="Default"/>
    <n v="78"/>
    <x v="1"/>
    <n v="0"/>
    <n v="9800"/>
  </r>
  <r>
    <s v="LN-00418"/>
    <s v="BRW-0347"/>
    <d v="2024-01-02T00:00:00"/>
    <n v="37"/>
    <s v="CA"/>
    <s v="High School"/>
    <x v="1"/>
    <n v="4"/>
    <n v="41748"/>
    <x v="1"/>
    <n v="781"/>
    <s v="Own"/>
    <n v="1"/>
    <n v="686"/>
    <x v="3"/>
    <x v="6"/>
    <x v="156"/>
    <n v="36"/>
    <n v="11.75"/>
    <n v="231.67"/>
    <n v="26.4"/>
    <x v="4"/>
    <s v="Current"/>
    <n v="0"/>
    <x v="0"/>
    <n v="2467.5"/>
    <n v="0"/>
  </r>
  <r>
    <s v="LN-00419"/>
    <s v="BRW-0348"/>
    <d v="2024-08-15T00:00:00"/>
    <n v="64"/>
    <s v="NY"/>
    <s v="Bachelor"/>
    <x v="1"/>
    <n v="10"/>
    <n v="46787"/>
    <x v="0"/>
    <n v="635"/>
    <s v="Mortgage"/>
    <n v="1"/>
    <n v="420"/>
    <x v="1"/>
    <x v="1"/>
    <x v="49"/>
    <n v="24"/>
    <n v="12.02"/>
    <n v="607.37"/>
    <n v="26.4"/>
    <x v="4"/>
    <s v="Default"/>
    <n v="32"/>
    <x v="1"/>
    <n v="0"/>
    <n v="12900"/>
  </r>
  <r>
    <s v="LN-00420"/>
    <s v="BRW-0349"/>
    <d v="2025-05-26T00:00:00"/>
    <n v="47"/>
    <s v="VA"/>
    <s v="Bachelor"/>
    <x v="2"/>
    <n v="17"/>
    <n v="57507"/>
    <x v="2"/>
    <n v="850"/>
    <s v="Mortgage"/>
    <n v="3"/>
    <n v="1124"/>
    <x v="3"/>
    <x v="0"/>
    <x v="279"/>
    <n v="36"/>
    <n v="10.02"/>
    <n v="1039.31"/>
    <n v="45.1"/>
    <x v="0"/>
    <s v="Current"/>
    <n v="0"/>
    <x v="0"/>
    <n v="9679.32"/>
    <n v="0"/>
  </r>
  <r>
    <s v="LN-00421"/>
    <s v="BRW-0350"/>
    <d v="2025-05-04T00:00:00"/>
    <n v="50"/>
    <s v="LA"/>
    <s v="High School"/>
    <x v="1"/>
    <n v="18"/>
    <n v="31671"/>
    <x v="2"/>
    <n v="662"/>
    <s v="Own"/>
    <n v="2"/>
    <n v="259"/>
    <x v="4"/>
    <x v="8"/>
    <x v="280"/>
    <n v="12"/>
    <n v="10.33"/>
    <n v="995.18"/>
    <n v="47.5"/>
    <x v="0"/>
    <s v="Current"/>
    <n v="0"/>
    <x v="0"/>
    <n v="1167.29"/>
    <n v="0"/>
  </r>
  <r>
    <s v="LN-00422"/>
    <s v="BRW-0351"/>
    <d v="2024-08-18T00:00:00"/>
    <n v="64"/>
    <s v="OR"/>
    <s v="Associate"/>
    <x v="1"/>
    <n v="14"/>
    <n v="74246"/>
    <x v="2"/>
    <n v="836"/>
    <s v="Mortgage"/>
    <n v="1"/>
    <n v="1926"/>
    <x v="3"/>
    <x v="8"/>
    <x v="281"/>
    <n v="24"/>
    <n v="10.31"/>
    <n v="833.19"/>
    <n v="44.6"/>
    <x v="1"/>
    <s v="Paid Off"/>
    <n v="0"/>
    <x v="0"/>
    <n v="3711.6000000000004"/>
    <n v="0"/>
  </r>
  <r>
    <s v="LN-00423"/>
    <s v="BRW-0351"/>
    <d v="2024-06-12T00:00:00"/>
    <n v="64"/>
    <s v="OR"/>
    <s v="Associate"/>
    <x v="1"/>
    <n v="14"/>
    <n v="74246"/>
    <x v="2"/>
    <n v="836"/>
    <s v="Mortgage"/>
    <n v="1"/>
    <n v="1926"/>
    <x v="3"/>
    <x v="5"/>
    <x v="98"/>
    <n v="36"/>
    <n v="10.99"/>
    <n v="1207.8800000000001"/>
    <n v="50.7"/>
    <x v="0"/>
    <s v="Current"/>
    <n v="0"/>
    <x v="0"/>
    <n v="12165.93"/>
    <n v="0"/>
  </r>
  <r>
    <s v="LN-00424"/>
    <s v="BRW-0352"/>
    <d v="2024-10-16T00:00:00"/>
    <n v="56"/>
    <s v="WA"/>
    <s v="Bachelor"/>
    <x v="4"/>
    <n v="30"/>
    <n v="46283"/>
    <x v="2"/>
    <n v="650"/>
    <s v="Mortgage"/>
    <n v="3"/>
    <n v="1570"/>
    <x v="4"/>
    <x v="4"/>
    <x v="282"/>
    <n v="60"/>
    <n v="12.8"/>
    <n v="471.14"/>
    <n v="52.9"/>
    <x v="0"/>
    <s v="Paid Off"/>
    <n v="0"/>
    <x v="0"/>
    <n v="13312"/>
    <n v="0"/>
  </r>
  <r>
    <s v="LN-00425"/>
    <s v="BRW-0353"/>
    <d v="2024-11-07T00:00:00"/>
    <n v="54"/>
    <s v="LA"/>
    <s v="Bachelor"/>
    <x v="1"/>
    <n v="9"/>
    <n v="77060"/>
    <x v="0"/>
    <n v="850"/>
    <s v="Own"/>
    <n v="1"/>
    <n v="3368"/>
    <x v="3"/>
    <x v="5"/>
    <x v="283"/>
    <n v="12"/>
    <n v="10.08"/>
    <n v="3518.12"/>
    <n v="107.2"/>
    <x v="2"/>
    <s v="Current"/>
    <n v="0"/>
    <x v="0"/>
    <n v="4032"/>
    <n v="0"/>
  </r>
  <r>
    <s v="LN-00426"/>
    <s v="BRW-0354"/>
    <d v="2024-01-10T00:00:00"/>
    <n v="32"/>
    <s v="AZ"/>
    <s v="Doctorate"/>
    <x v="2"/>
    <n v="1"/>
    <n v="79686"/>
    <x v="3"/>
    <n v="751"/>
    <s v="Rent"/>
    <n v="0"/>
    <n v="3063"/>
    <x v="3"/>
    <x v="3"/>
    <x v="221"/>
    <n v="24"/>
    <n v="11.16"/>
    <n v="564.85"/>
    <n v="54.6"/>
    <x v="0"/>
    <s v="Late"/>
    <n v="15"/>
    <x v="0"/>
    <n v="2700.7200000000003"/>
    <n v="0"/>
  </r>
  <r>
    <s v="LN-00427"/>
    <s v="BRW-0355"/>
    <d v="2024-04-08T00:00:00"/>
    <n v="31"/>
    <s v="WA"/>
    <s v="Master"/>
    <x v="1"/>
    <n v="1"/>
    <n v="132747"/>
    <x v="3"/>
    <n v="584"/>
    <s v="Mortgage"/>
    <n v="2"/>
    <n v="5291"/>
    <x v="0"/>
    <x v="5"/>
    <x v="284"/>
    <n v="24"/>
    <n v="14.9"/>
    <n v="2383.21"/>
    <n v="69.400000000000006"/>
    <x v="2"/>
    <s v="Default"/>
    <n v="151"/>
    <x v="1"/>
    <n v="0"/>
    <n v="49200"/>
  </r>
  <r>
    <s v="LN-00428"/>
    <s v="BRW-0356"/>
    <d v="2024-06-01T00:00:00"/>
    <n v="55"/>
    <s v="FL"/>
    <s v="Bachelor"/>
    <x v="2"/>
    <n v="33"/>
    <n v="90781"/>
    <x v="2"/>
    <n v="850"/>
    <s v="Rent"/>
    <n v="1"/>
    <n v="938"/>
    <x v="3"/>
    <x v="8"/>
    <x v="205"/>
    <n v="36"/>
    <n v="8.8000000000000007"/>
    <n v="684.87"/>
    <n v="21.5"/>
    <x v="4"/>
    <s v="Current"/>
    <n v="0"/>
    <x v="0"/>
    <n v="5702.4000000000005"/>
    <n v="0"/>
  </r>
  <r>
    <s v="LN-00429"/>
    <s v="BRW-0357"/>
    <d v="2025-01-19T00:00:00"/>
    <n v="59"/>
    <s v="OK"/>
    <s v="Bachelor"/>
    <x v="4"/>
    <n v="6"/>
    <n v="28195"/>
    <x v="0"/>
    <n v="579"/>
    <s v="Rent"/>
    <n v="1"/>
    <n v="521"/>
    <x v="0"/>
    <x v="0"/>
    <x v="61"/>
    <n v="24"/>
    <n v="13.61"/>
    <n v="573.95000000000005"/>
    <n v="46.6"/>
    <x v="0"/>
    <s v="Late"/>
    <n v="30"/>
    <x v="0"/>
    <n v="3266.4"/>
    <n v="0"/>
  </r>
  <r>
    <s v="LN-00430"/>
    <s v="BRW-0358"/>
    <d v="2025-03-31T00:00:00"/>
    <n v="48"/>
    <s v="WA"/>
    <s v="Associate"/>
    <x v="0"/>
    <n v="1"/>
    <n v="55827"/>
    <x v="3"/>
    <n v="772"/>
    <s v="Own"/>
    <n v="0"/>
    <n v="1648"/>
    <x v="3"/>
    <x v="0"/>
    <x v="285"/>
    <n v="36"/>
    <n v="10.3"/>
    <n v="1075.95"/>
    <n v="58.6"/>
    <x v="0"/>
    <s v="Current"/>
    <n v="0"/>
    <x v="0"/>
    <n v="10258.800000000001"/>
    <n v="0"/>
  </r>
  <r>
    <s v="LN-00431"/>
    <s v="BRW-0359"/>
    <d v="2024-04-06T00:00:00"/>
    <n v="66"/>
    <s v="UT"/>
    <s v="Bachelor"/>
    <x v="1"/>
    <n v="3"/>
    <n v="96677"/>
    <x v="1"/>
    <n v="661"/>
    <s v="Rent"/>
    <n v="0"/>
    <n v="1903"/>
    <x v="4"/>
    <x v="2"/>
    <x v="286"/>
    <n v="60"/>
    <n v="11.38"/>
    <n v="662.36"/>
    <n v="31.8"/>
    <x v="4"/>
    <s v="Current"/>
    <n v="0"/>
    <x v="0"/>
    <n v="17183.800000000003"/>
    <n v="0"/>
  </r>
  <r>
    <s v="LN-00432"/>
    <s v="BRW-0360"/>
    <d v="2024-07-08T00:00:00"/>
    <n v="43"/>
    <s v="OK"/>
    <s v="Master"/>
    <x v="1"/>
    <n v="22"/>
    <n v="78653"/>
    <x v="2"/>
    <n v="786"/>
    <s v="Rent"/>
    <n v="0"/>
    <n v="1312"/>
    <x v="3"/>
    <x v="1"/>
    <x v="109"/>
    <n v="36"/>
    <n v="7.22"/>
    <n v="247.82"/>
    <n v="23.8"/>
    <x v="4"/>
    <s v="Current"/>
    <n v="0"/>
    <x v="0"/>
    <n v="1732.8000000000002"/>
    <n v="0"/>
  </r>
  <r>
    <s v="LN-00433"/>
    <s v="BRW-0361"/>
    <d v="2024-05-07T00:00:00"/>
    <n v="50"/>
    <s v="MA"/>
    <s v="Master"/>
    <x v="1"/>
    <n v="20"/>
    <n v="117130"/>
    <x v="2"/>
    <n v="850"/>
    <s v="Own"/>
    <n v="0"/>
    <n v="4509"/>
    <x v="3"/>
    <x v="2"/>
    <x v="287"/>
    <n v="60"/>
    <n v="8.5299999999999994"/>
    <n v="552.28"/>
    <n v="51.9"/>
    <x v="0"/>
    <s v="Late"/>
    <n v="0"/>
    <x v="0"/>
    <n v="11472.849999999999"/>
    <n v="0"/>
  </r>
  <r>
    <s v="LN-00434"/>
    <s v="BRW-0361"/>
    <d v="2025-04-02T00:00:00"/>
    <n v="50"/>
    <s v="MA"/>
    <s v="Master"/>
    <x v="1"/>
    <n v="20"/>
    <n v="117130"/>
    <x v="2"/>
    <n v="850"/>
    <s v="Own"/>
    <n v="0"/>
    <n v="4509"/>
    <x v="3"/>
    <x v="6"/>
    <x v="288"/>
    <n v="24"/>
    <n v="5.86"/>
    <n v="1363.13"/>
    <n v="60.2"/>
    <x v="2"/>
    <s v="Current"/>
    <n v="0"/>
    <x v="0"/>
    <n v="3609.76"/>
    <n v="0"/>
  </r>
  <r>
    <s v="LN-00435"/>
    <s v="BRW-0362"/>
    <d v="2024-05-07T00:00:00"/>
    <n v="53"/>
    <s v="SC"/>
    <s v="Master"/>
    <x v="2"/>
    <n v="10"/>
    <n v="125043"/>
    <x v="0"/>
    <n v="813"/>
    <s v="Own"/>
    <n v="1"/>
    <n v="1227"/>
    <x v="3"/>
    <x v="5"/>
    <x v="289"/>
    <n v="12"/>
    <n v="6.87"/>
    <n v="1236.48"/>
    <n v="23.6"/>
    <x v="4"/>
    <s v="Current"/>
    <n v="0"/>
    <x v="0"/>
    <n v="982.41"/>
    <n v="0"/>
  </r>
  <r>
    <s v="LN-00436"/>
    <s v="BRW-0363"/>
    <d v="2024-10-27T00:00:00"/>
    <n v="55"/>
    <s v="MA"/>
    <s v="Master"/>
    <x v="1"/>
    <n v="3"/>
    <n v="71139"/>
    <x v="1"/>
    <n v="637"/>
    <s v="Own"/>
    <n v="0"/>
    <n v="1364"/>
    <x v="1"/>
    <x v="8"/>
    <x v="50"/>
    <n v="60"/>
    <n v="13.91"/>
    <n v="90.56"/>
    <n v="24.5"/>
    <x v="4"/>
    <s v="Current"/>
    <n v="0"/>
    <x v="0"/>
    <n v="2712.45"/>
    <n v="0"/>
  </r>
  <r>
    <s v="LN-00437"/>
    <s v="BRW-0364"/>
    <d v="2024-08-02T00:00:00"/>
    <n v="34"/>
    <s v="CA"/>
    <s v="Associate"/>
    <x v="2"/>
    <n v="14"/>
    <n v="52736"/>
    <x v="2"/>
    <n v="850"/>
    <s v="Own"/>
    <n v="0"/>
    <n v="1293"/>
    <x v="3"/>
    <x v="2"/>
    <x v="290"/>
    <n v="60"/>
    <n v="8.52"/>
    <n v="1022.2"/>
    <n v="52.7"/>
    <x v="0"/>
    <s v="Current"/>
    <n v="0"/>
    <x v="0"/>
    <n v="21214.799999999999"/>
    <n v="0"/>
  </r>
  <r>
    <s v="LN-00438"/>
    <s v="BRW-0365"/>
    <d v="2024-08-09T00:00:00"/>
    <n v="50"/>
    <s v="CT"/>
    <s v="High School"/>
    <x v="2"/>
    <n v="11"/>
    <n v="43058"/>
    <x v="2"/>
    <n v="709"/>
    <s v="Own"/>
    <n v="0"/>
    <n v="1670"/>
    <x v="2"/>
    <x v="5"/>
    <x v="291"/>
    <n v="24"/>
    <n v="11.19"/>
    <n v="1120.71"/>
    <n v="77.8"/>
    <x v="2"/>
    <s v="Paid Off"/>
    <n v="0"/>
    <x v="0"/>
    <n v="5371.2"/>
    <n v="0"/>
  </r>
  <r>
    <s v="LN-00439"/>
    <s v="BRW-0366"/>
    <d v="2024-03-26T00:00:00"/>
    <n v="27"/>
    <s v="CO"/>
    <s v="Associate"/>
    <x v="1"/>
    <n v="3"/>
    <n v="36926"/>
    <x v="1"/>
    <n v="817"/>
    <s v="Rent"/>
    <n v="0"/>
    <n v="471"/>
    <x v="3"/>
    <x v="2"/>
    <x v="278"/>
    <n v="24"/>
    <n v="8.3800000000000008"/>
    <n v="444.93"/>
    <n v="29.8"/>
    <x v="4"/>
    <s v="Paid Off"/>
    <n v="0"/>
    <x v="0"/>
    <n v="1642.4800000000002"/>
    <n v="0"/>
  </r>
  <r>
    <s v="LN-00440"/>
    <s v="BRW-0367"/>
    <d v="2025-06-07T00:00:00"/>
    <n v="63"/>
    <s v="CO"/>
    <s v="Bachelor"/>
    <x v="1"/>
    <n v="30"/>
    <n v="90383"/>
    <x v="2"/>
    <n v="544"/>
    <s v="Rent"/>
    <n v="0"/>
    <n v="3392"/>
    <x v="0"/>
    <x v="7"/>
    <x v="292"/>
    <n v="24"/>
    <n v="14.51"/>
    <n v="1254.6099999999999"/>
    <n v="61.7"/>
    <x v="2"/>
    <s v="Current"/>
    <n v="0"/>
    <x v="0"/>
    <n v="7545.2000000000007"/>
    <n v="0"/>
  </r>
  <r>
    <s v="LN-00441"/>
    <s v="BRW-0368"/>
    <d v="2024-05-07T00:00:00"/>
    <n v="36"/>
    <s v="WA"/>
    <s v="Associate"/>
    <x v="2"/>
    <n v="8"/>
    <n v="43512"/>
    <x v="0"/>
    <n v="850"/>
    <s v="Mortgage"/>
    <n v="3"/>
    <n v="1013"/>
    <x v="3"/>
    <x v="1"/>
    <x v="293"/>
    <n v="24"/>
    <n v="6.22"/>
    <n v="1408.11"/>
    <n v="66.8"/>
    <x v="2"/>
    <s v="Current"/>
    <n v="0"/>
    <x v="0"/>
    <n v="3943.48"/>
    <n v="0"/>
  </r>
  <r>
    <s v="LN-00442"/>
    <s v="BRW-0368"/>
    <d v="2024-05-29T00:00:00"/>
    <n v="36"/>
    <s v="WA"/>
    <s v="Associate"/>
    <x v="2"/>
    <n v="8"/>
    <n v="43512"/>
    <x v="0"/>
    <n v="850"/>
    <s v="Mortgage"/>
    <n v="3"/>
    <n v="1013"/>
    <x v="3"/>
    <x v="4"/>
    <x v="294"/>
    <n v="36"/>
    <n v="9.7200000000000006"/>
    <n v="581.66"/>
    <n v="44"/>
    <x v="1"/>
    <s v="Current"/>
    <n v="0"/>
    <x v="0"/>
    <n v="5277.9600000000009"/>
    <n v="0"/>
  </r>
  <r>
    <s v="LN-00443"/>
    <s v="BRW-0369"/>
    <d v="2024-11-09T00:00:00"/>
    <n v="35"/>
    <s v="MN"/>
    <s v="Bachelor"/>
    <x v="0"/>
    <n v="3"/>
    <n v="93191"/>
    <x v="1"/>
    <n v="743"/>
    <s v="Own"/>
    <n v="4"/>
    <n v="3647"/>
    <x v="2"/>
    <x v="7"/>
    <x v="156"/>
    <n v="12"/>
    <n v="8.5"/>
    <n v="610.54"/>
    <n v="54.8"/>
    <x v="0"/>
    <s v="Current"/>
    <n v="0"/>
    <x v="0"/>
    <n v="595"/>
    <n v="0"/>
  </r>
  <r>
    <s v="LN-00444"/>
    <s v="BRW-0370"/>
    <d v="2024-02-19T00:00:00"/>
    <n v="57"/>
    <s v="NC"/>
    <s v="Bachelor"/>
    <x v="3"/>
    <n v="30"/>
    <n v="32803"/>
    <x v="2"/>
    <n v="580"/>
    <s v="Own"/>
    <n v="2"/>
    <n v="1314"/>
    <x v="0"/>
    <x v="9"/>
    <x v="295"/>
    <n v="60"/>
    <n v="10.83"/>
    <n v="543.61"/>
    <n v="68"/>
    <x v="2"/>
    <s v="Default"/>
    <n v="129"/>
    <x v="1"/>
    <n v="0"/>
    <n v="25100"/>
  </r>
  <r>
    <s v="LN-00445"/>
    <s v="BRW-0371"/>
    <d v="2024-05-10T00:00:00"/>
    <n v="38"/>
    <s v="GA"/>
    <s v="Bachelor"/>
    <x v="4"/>
    <n v="4"/>
    <n v="49297"/>
    <x v="1"/>
    <n v="626"/>
    <s v="Mortgage"/>
    <n v="3"/>
    <n v="1859"/>
    <x v="1"/>
    <x v="2"/>
    <x v="107"/>
    <n v="48"/>
    <n v="11.95"/>
    <n v="1107.6199999999999"/>
    <n v="72.2"/>
    <x v="2"/>
    <s v="Default"/>
    <n v="161"/>
    <x v="1"/>
    <n v="0"/>
    <n v="42100"/>
  </r>
  <r>
    <s v="LN-00446"/>
    <s v="BRW-0372"/>
    <d v="2025-01-14T00:00:00"/>
    <n v="60"/>
    <s v="NC"/>
    <s v="Bachelor"/>
    <x v="1"/>
    <n v="31"/>
    <n v="49527"/>
    <x v="2"/>
    <n v="543"/>
    <s v="Rent"/>
    <n v="3"/>
    <n v="1041"/>
    <x v="0"/>
    <x v="5"/>
    <x v="59"/>
    <n v="36"/>
    <n v="11.21"/>
    <n v="463.02"/>
    <n v="36.4"/>
    <x v="1"/>
    <s v="Late"/>
    <n v="0"/>
    <x v="0"/>
    <n v="4741.83"/>
    <n v="0"/>
  </r>
  <r>
    <s v="LN-00447"/>
    <s v="BRW-0373"/>
    <d v="2024-10-09T00:00:00"/>
    <n v="24"/>
    <s v="CO"/>
    <s v="Bachelor"/>
    <x v="4"/>
    <n v="1"/>
    <n v="55596"/>
    <x v="3"/>
    <n v="705"/>
    <s v="Rent"/>
    <n v="2"/>
    <n v="2331"/>
    <x v="2"/>
    <x v="5"/>
    <x v="296"/>
    <n v="48"/>
    <n v="10.76"/>
    <n v="452.83"/>
    <n v="60.1"/>
    <x v="2"/>
    <s v="Paid Off"/>
    <n v="0"/>
    <x v="0"/>
    <n v="7575.04"/>
    <n v="0"/>
  </r>
  <r>
    <s v="LN-00448"/>
    <s v="BRW-0374"/>
    <d v="2024-11-16T00:00:00"/>
    <n v="64"/>
    <s v="TN"/>
    <s v="Bachelor"/>
    <x v="1"/>
    <n v="11"/>
    <n v="51445"/>
    <x v="2"/>
    <n v="815"/>
    <s v="Mortgage"/>
    <n v="0"/>
    <n v="768"/>
    <x v="3"/>
    <x v="7"/>
    <x v="95"/>
    <n v="36"/>
    <n v="8.4499999999999993"/>
    <n v="936.87"/>
    <n v="39.799999999999997"/>
    <x v="1"/>
    <s v="Current"/>
    <n v="0"/>
    <x v="0"/>
    <n v="7528.9499999999989"/>
    <n v="0"/>
  </r>
  <r>
    <s v="LN-00449"/>
    <s v="BRW-0374"/>
    <d v="2024-10-19T00:00:00"/>
    <n v="64"/>
    <s v="TN"/>
    <s v="Bachelor"/>
    <x v="1"/>
    <n v="11"/>
    <n v="51445"/>
    <x v="2"/>
    <n v="815"/>
    <s v="Mortgage"/>
    <n v="0"/>
    <n v="768"/>
    <x v="3"/>
    <x v="7"/>
    <x v="223"/>
    <n v="12"/>
    <n v="6.84"/>
    <n v="855.88"/>
    <n v="37.9"/>
    <x v="1"/>
    <s v="Paid Off"/>
    <n v="0"/>
    <x v="0"/>
    <n v="677.16"/>
    <n v="0"/>
  </r>
  <r>
    <s v="LN-00450"/>
    <s v="BRW-0375"/>
    <d v="2025-06-11T00:00:00"/>
    <n v="57"/>
    <s v="GA"/>
    <s v="Master"/>
    <x v="1"/>
    <n v="5"/>
    <n v="112919"/>
    <x v="1"/>
    <n v="716"/>
    <s v="Own"/>
    <n v="2"/>
    <n v="1915"/>
    <x v="2"/>
    <x v="1"/>
    <x v="297"/>
    <n v="24"/>
    <n v="10.46"/>
    <n v="2169.5300000000002"/>
    <n v="43.4"/>
    <x v="1"/>
    <s v="Current"/>
    <n v="0"/>
    <x v="0"/>
    <n v="9790.5600000000013"/>
    <n v="0"/>
  </r>
  <r>
    <s v="LN-00451"/>
    <s v="BRW-0375"/>
    <d v="2024-12-19T00:00:00"/>
    <n v="57"/>
    <s v="GA"/>
    <s v="Master"/>
    <x v="1"/>
    <n v="5"/>
    <n v="112919"/>
    <x v="1"/>
    <n v="716"/>
    <s v="Own"/>
    <n v="2"/>
    <n v="1915"/>
    <x v="2"/>
    <x v="6"/>
    <x v="298"/>
    <n v="12"/>
    <n v="11.64"/>
    <n v="2802.3"/>
    <n v="50.1"/>
    <x v="0"/>
    <s v="Paid Off"/>
    <n v="0"/>
    <x v="0"/>
    <n v="3678.2400000000002"/>
    <n v="0"/>
  </r>
  <r>
    <s v="LN-00452"/>
    <s v="BRW-0376"/>
    <d v="2025-06-20T00:00:00"/>
    <n v="43"/>
    <s v="CO"/>
    <s v="Bachelor"/>
    <x v="3"/>
    <n v="15"/>
    <n v="38602"/>
    <x v="2"/>
    <n v="585"/>
    <s v="Own"/>
    <n v="2"/>
    <n v="1679"/>
    <x v="0"/>
    <x v="2"/>
    <x v="299"/>
    <n v="48"/>
    <n v="15.07"/>
    <n v="103.11"/>
    <n v="55.4"/>
    <x v="0"/>
    <s v="Current"/>
    <n v="0"/>
    <x v="0"/>
    <n v="2230.36"/>
    <n v="0"/>
  </r>
  <r>
    <s v="LN-00453"/>
    <s v="BRW-0376"/>
    <d v="2024-06-23T00:00:00"/>
    <n v="43"/>
    <s v="CO"/>
    <s v="Bachelor"/>
    <x v="3"/>
    <n v="15"/>
    <n v="38602"/>
    <x v="2"/>
    <n v="585"/>
    <s v="Own"/>
    <n v="2"/>
    <n v="1679"/>
    <x v="0"/>
    <x v="5"/>
    <x v="268"/>
    <n v="48"/>
    <n v="12.73"/>
    <n v="902.25"/>
    <n v="80.2"/>
    <x v="2"/>
    <s v="Default"/>
    <n v="58"/>
    <x v="1"/>
    <n v="0"/>
    <n v="33800"/>
  </r>
  <r>
    <s v="LN-00454"/>
    <s v="BRW-0377"/>
    <d v="2025-05-09T00:00:00"/>
    <n v="26"/>
    <s v="TX"/>
    <s v="Bachelor"/>
    <x v="1"/>
    <n v="4"/>
    <n v="48244"/>
    <x v="1"/>
    <n v="725"/>
    <s v="Mortgage"/>
    <n v="3"/>
    <n v="504"/>
    <x v="2"/>
    <x v="7"/>
    <x v="300"/>
    <n v="12"/>
    <n v="9.3699999999999992"/>
    <n v="3750.27"/>
    <n v="105.8"/>
    <x v="2"/>
    <s v="Paid Off"/>
    <n v="0"/>
    <x v="0"/>
    <n v="4010.3599999999997"/>
    <n v="0"/>
  </r>
  <r>
    <s v="LN-00455"/>
    <s v="BRW-0378"/>
    <d v="2024-02-06T00:00:00"/>
    <n v="34"/>
    <s v="SC"/>
    <s v="Associate"/>
    <x v="4"/>
    <n v="2"/>
    <n v="42389"/>
    <x v="1"/>
    <n v="764"/>
    <s v="Mortgage"/>
    <n v="0"/>
    <n v="319"/>
    <x v="3"/>
    <x v="7"/>
    <x v="301"/>
    <n v="60"/>
    <n v="11.4"/>
    <n v="1022.52"/>
    <n v="38"/>
    <x v="1"/>
    <s v="Late"/>
    <n v="15"/>
    <x v="0"/>
    <n v="26562.000000000004"/>
    <n v="0"/>
  </r>
  <r>
    <s v="LN-00456"/>
    <s v="BRW-0379"/>
    <d v="2024-12-24T00:00:00"/>
    <n v="43"/>
    <s v="LA"/>
    <s v="Bachelor"/>
    <x v="1"/>
    <n v="14"/>
    <n v="81081"/>
    <x v="2"/>
    <n v="542"/>
    <s v="Mortgage"/>
    <n v="2"/>
    <n v="2284"/>
    <x v="0"/>
    <x v="8"/>
    <x v="302"/>
    <n v="36"/>
    <n v="11.5"/>
    <n v="586.97"/>
    <n v="42.5"/>
    <x v="1"/>
    <s v="Current"/>
    <n v="0"/>
    <x v="0"/>
    <n v="6141"/>
    <n v="0"/>
  </r>
  <r>
    <s v="LN-00457"/>
    <s v="BRW-0380"/>
    <d v="2025-05-14T00:00:00"/>
    <n v="32"/>
    <s v="WA"/>
    <s v="Bachelor"/>
    <x v="0"/>
    <n v="6"/>
    <n v="46217"/>
    <x v="0"/>
    <n v="844"/>
    <s v="Mortgage"/>
    <n v="1"/>
    <n v="1111"/>
    <x v="3"/>
    <x v="0"/>
    <x v="59"/>
    <n v="24"/>
    <n v="7.99"/>
    <n v="637.64"/>
    <n v="45.4"/>
    <x v="0"/>
    <s v="Default"/>
    <n v="94"/>
    <x v="1"/>
    <n v="0"/>
    <n v="14100"/>
  </r>
  <r>
    <s v="LN-00458"/>
    <s v="BRW-0381"/>
    <d v="2024-10-02T00:00:00"/>
    <n v="22"/>
    <s v="IN"/>
    <s v="High School"/>
    <x v="1"/>
    <n v="1"/>
    <n v="35533"/>
    <x v="3"/>
    <n v="532"/>
    <s v="Rent"/>
    <n v="0"/>
    <n v="1150"/>
    <x v="0"/>
    <x v="1"/>
    <x v="47"/>
    <n v="24"/>
    <n v="13.82"/>
    <n v="527.21"/>
    <n v="56.6"/>
    <x v="0"/>
    <s v="Default"/>
    <n v="142"/>
    <x v="1"/>
    <n v="0"/>
    <n v="11000"/>
  </r>
  <r>
    <s v="LN-00459"/>
    <s v="BRW-0382"/>
    <d v="2024-07-22T00:00:00"/>
    <n v="62"/>
    <s v="IN"/>
    <s v="Master"/>
    <x v="1"/>
    <n v="8"/>
    <n v="129845"/>
    <x v="0"/>
    <n v="709"/>
    <s v="Own"/>
    <n v="2"/>
    <n v="1444"/>
    <x v="2"/>
    <x v="0"/>
    <x v="254"/>
    <n v="48"/>
    <n v="8.2100000000000009"/>
    <n v="465.72"/>
    <n v="17.600000000000001"/>
    <x v="3"/>
    <s v="Current"/>
    <n v="0"/>
    <x v="0"/>
    <n v="6239.6"/>
    <n v="0"/>
  </r>
  <r>
    <s v="LN-00460"/>
    <s v="BRW-0383"/>
    <d v="2024-09-29T00:00:00"/>
    <n v="24"/>
    <s v="CT"/>
    <s v="Associate"/>
    <x v="1"/>
    <n v="4"/>
    <n v="63025"/>
    <x v="1"/>
    <n v="840"/>
    <s v="Mortgage"/>
    <n v="2"/>
    <n v="613"/>
    <x v="3"/>
    <x v="4"/>
    <x v="57"/>
    <n v="24"/>
    <n v="10.74"/>
    <n v="450.93"/>
    <n v="20.3"/>
    <x v="4"/>
    <s v="Current"/>
    <n v="0"/>
    <x v="0"/>
    <n v="2083.56"/>
    <n v="0"/>
  </r>
  <r>
    <s v="LN-00461"/>
    <s v="BRW-0384"/>
    <d v="2025-02-02T00:00:00"/>
    <n v="53"/>
    <s v="AL"/>
    <s v="Bachelor"/>
    <x v="1"/>
    <n v="1"/>
    <n v="101087"/>
    <x v="3"/>
    <n v="751"/>
    <s v="Own"/>
    <n v="4"/>
    <n v="1310"/>
    <x v="3"/>
    <x v="5"/>
    <x v="303"/>
    <n v="48"/>
    <n v="9.99"/>
    <n v="981.35"/>
    <n v="27.2"/>
    <x v="4"/>
    <s v="Late"/>
    <n v="30"/>
    <x v="0"/>
    <n v="15464.52"/>
    <n v="0"/>
  </r>
  <r>
    <s v="LN-00462"/>
    <s v="BRW-0385"/>
    <d v="2024-12-16T00:00:00"/>
    <n v="23"/>
    <s v="NC"/>
    <s v="Bachelor"/>
    <x v="1"/>
    <n v="3"/>
    <n v="63988"/>
    <x v="1"/>
    <n v="554"/>
    <s v="Rent"/>
    <n v="2"/>
    <n v="1927"/>
    <x v="0"/>
    <x v="4"/>
    <x v="148"/>
    <n v="24"/>
    <n v="11.03"/>
    <n v="1808.92"/>
    <n v="70.099999999999994"/>
    <x v="2"/>
    <s v="Default"/>
    <n v="32"/>
    <x v="1"/>
    <n v="0"/>
    <n v="38800"/>
  </r>
  <r>
    <s v="LN-00463"/>
    <s v="BRW-0386"/>
    <d v="2024-06-05T00:00:00"/>
    <n v="60"/>
    <s v="AZ"/>
    <s v="Doctorate"/>
    <x v="0"/>
    <n v="3"/>
    <n v="134797"/>
    <x v="1"/>
    <n v="560"/>
    <s v="Rent"/>
    <n v="1"/>
    <n v="1255"/>
    <x v="0"/>
    <x v="3"/>
    <x v="304"/>
    <n v="48"/>
    <n v="11.91"/>
    <n v="157.74"/>
    <n v="12.6"/>
    <x v="3"/>
    <s v="Current"/>
    <n v="0"/>
    <x v="0"/>
    <n v="2858.4"/>
    <n v="0"/>
  </r>
  <r>
    <s v="LN-00464"/>
    <s v="BRW-0387"/>
    <d v="2024-04-15T00:00:00"/>
    <n v="38"/>
    <s v="MN"/>
    <s v="Bachelor"/>
    <x v="1"/>
    <n v="0"/>
    <n v="84953"/>
    <x v="3"/>
    <n v="850"/>
    <s v="Mortgage"/>
    <n v="0"/>
    <n v="2195"/>
    <x v="3"/>
    <x v="3"/>
    <x v="182"/>
    <n v="48"/>
    <n v="6.83"/>
    <n v="331.76"/>
    <n v="35.700000000000003"/>
    <x v="1"/>
    <s v="Current"/>
    <n v="0"/>
    <x v="0"/>
    <n v="3797.48"/>
    <n v="0"/>
  </r>
  <r>
    <s v="LN-00465"/>
    <s v="BRW-0388"/>
    <d v="2024-02-09T00:00:00"/>
    <n v="61"/>
    <s v="FL"/>
    <s v="Bachelor"/>
    <x v="1"/>
    <n v="32"/>
    <n v="93595"/>
    <x v="2"/>
    <n v="593"/>
    <s v="Rent"/>
    <n v="0"/>
    <n v="3450"/>
    <x v="0"/>
    <x v="9"/>
    <x v="99"/>
    <n v="12"/>
    <n v="10.78"/>
    <n v="803.34"/>
    <n v="54.5"/>
    <x v="0"/>
    <s v="Default"/>
    <n v="79"/>
    <x v="1"/>
    <n v="0"/>
    <n v="9100"/>
  </r>
  <r>
    <s v="LN-00466"/>
    <s v="BRW-0388"/>
    <d v="2025-01-24T00:00:00"/>
    <n v="61"/>
    <s v="FL"/>
    <s v="Bachelor"/>
    <x v="1"/>
    <n v="32"/>
    <n v="93595"/>
    <x v="2"/>
    <n v="593"/>
    <s v="Rent"/>
    <n v="0"/>
    <n v="3450"/>
    <x v="0"/>
    <x v="5"/>
    <x v="298"/>
    <n v="12"/>
    <n v="14.44"/>
    <n v="2843.82"/>
    <n v="80.7"/>
    <x v="2"/>
    <s v="Default"/>
    <n v="108"/>
    <x v="1"/>
    <n v="0"/>
    <n v="31600"/>
  </r>
  <r>
    <s v="LN-00467"/>
    <s v="BRW-0389"/>
    <d v="2024-02-22T00:00:00"/>
    <n v="53"/>
    <s v="AZ"/>
    <s v="High School"/>
    <x v="1"/>
    <n v="12"/>
    <n v="31657"/>
    <x v="2"/>
    <n v="792"/>
    <s v="Mortgage"/>
    <n v="0"/>
    <n v="183"/>
    <x v="3"/>
    <x v="7"/>
    <x v="241"/>
    <n v="12"/>
    <n v="9.35"/>
    <n v="771"/>
    <n v="36.200000000000003"/>
    <x v="1"/>
    <s v="Current"/>
    <n v="0"/>
    <x v="0"/>
    <n v="822.8"/>
    <n v="0"/>
  </r>
  <r>
    <s v="LN-00468"/>
    <s v="BRW-0390"/>
    <d v="2024-02-23T00:00:00"/>
    <n v="53"/>
    <s v="NY"/>
    <s v="Master"/>
    <x v="0"/>
    <n v="0"/>
    <n v="95840"/>
    <x v="3"/>
    <n v="660"/>
    <s v="Own"/>
    <n v="3"/>
    <n v="3734"/>
    <x v="4"/>
    <x v="1"/>
    <x v="305"/>
    <n v="24"/>
    <n v="9.1999999999999993"/>
    <n v="2059.9499999999998"/>
    <n v="72.5"/>
    <x v="2"/>
    <s v="Current"/>
    <n v="0"/>
    <x v="0"/>
    <n v="8280"/>
    <n v="0"/>
  </r>
  <r>
    <s v="LN-00469"/>
    <s v="BRW-0391"/>
    <d v="2024-11-07T00:00:00"/>
    <n v="64"/>
    <s v="CO"/>
    <s v="Bachelor"/>
    <x v="4"/>
    <n v="6"/>
    <n v="54199"/>
    <x v="0"/>
    <n v="568"/>
    <s v="Rent"/>
    <n v="0"/>
    <n v="2458"/>
    <x v="0"/>
    <x v="9"/>
    <x v="72"/>
    <n v="48"/>
    <n v="12.35"/>
    <n v="153.72999999999999"/>
    <n v="57.8"/>
    <x v="0"/>
    <s v="Default"/>
    <n v="33"/>
    <x v="1"/>
    <n v="0"/>
    <n v="5800"/>
  </r>
  <r>
    <s v="LN-00470"/>
    <s v="BRW-0392"/>
    <d v="2025-06-25T00:00:00"/>
    <n v="40"/>
    <s v="MN"/>
    <s v="Associate"/>
    <x v="1"/>
    <n v="9"/>
    <n v="66968"/>
    <x v="0"/>
    <n v="555"/>
    <s v="Mortgage"/>
    <n v="1"/>
    <n v="2339"/>
    <x v="0"/>
    <x v="5"/>
    <x v="306"/>
    <n v="36"/>
    <n v="14.46"/>
    <n v="1207.49"/>
    <n v="63.5"/>
    <x v="2"/>
    <s v="Current"/>
    <n v="0"/>
    <x v="0"/>
    <n v="15226.380000000001"/>
    <n v="0"/>
  </r>
  <r>
    <s v="LN-00471"/>
    <s v="BRW-0393"/>
    <d v="2024-07-14T00:00:00"/>
    <n v="28"/>
    <s v="CT"/>
    <s v="Master"/>
    <x v="2"/>
    <n v="2"/>
    <n v="55429"/>
    <x v="1"/>
    <n v="600"/>
    <s v="Mortgage"/>
    <n v="1"/>
    <n v="1667"/>
    <x v="1"/>
    <x v="6"/>
    <x v="260"/>
    <n v="60"/>
    <n v="10.6"/>
    <n v="178.81"/>
    <n v="40"/>
    <x v="1"/>
    <s v="Default"/>
    <n v="144"/>
    <x v="1"/>
    <n v="0"/>
    <n v="8300"/>
  </r>
  <r>
    <s v="LN-00472"/>
    <s v="BRW-0394"/>
    <d v="2024-07-25T00:00:00"/>
    <n v="68"/>
    <s v="NC"/>
    <s v="High School"/>
    <x v="2"/>
    <n v="25"/>
    <n v="28837"/>
    <x v="2"/>
    <n v="730"/>
    <s v="Rent"/>
    <n v="3"/>
    <n v="949"/>
    <x v="2"/>
    <x v="6"/>
    <x v="307"/>
    <n v="36"/>
    <n v="11.46"/>
    <n v="866.77"/>
    <n v="75.599999999999994"/>
    <x v="2"/>
    <s v="Current"/>
    <n v="0"/>
    <x v="0"/>
    <n v="9041.94"/>
    <n v="0"/>
  </r>
  <r>
    <s v="LN-00473"/>
    <s v="BRW-0394"/>
    <d v="2025-01-09T00:00:00"/>
    <n v="68"/>
    <s v="NC"/>
    <s v="High School"/>
    <x v="2"/>
    <n v="25"/>
    <n v="28837"/>
    <x v="2"/>
    <n v="730"/>
    <s v="Rent"/>
    <n v="3"/>
    <n v="949"/>
    <x v="2"/>
    <x v="1"/>
    <x v="161"/>
    <n v="60"/>
    <n v="12.71"/>
    <n v="192.14"/>
    <n v="47.5"/>
    <x v="0"/>
    <s v="Paid Off"/>
    <n v="0"/>
    <x v="0"/>
    <n v="5401.7500000000009"/>
    <n v="0"/>
  </r>
  <r>
    <s v="LN-00474"/>
    <s v="BRW-0395"/>
    <d v="2024-10-07T00:00:00"/>
    <n v="52"/>
    <s v="TX"/>
    <s v="Master"/>
    <x v="3"/>
    <n v="8"/>
    <n v="67635"/>
    <x v="0"/>
    <n v="592"/>
    <s v="Rent"/>
    <n v="4"/>
    <n v="2661"/>
    <x v="0"/>
    <x v="1"/>
    <x v="243"/>
    <n v="12"/>
    <n v="10.97"/>
    <n v="4215.1400000000003"/>
    <n v="122"/>
    <x v="2"/>
    <s v="Current"/>
    <n v="0"/>
    <x v="0"/>
    <n v="5232.6900000000005"/>
    <n v="0"/>
  </r>
  <r>
    <s v="LN-00475"/>
    <s v="BRW-0396"/>
    <d v="2024-03-17T00:00:00"/>
    <n v="28"/>
    <s v="LA"/>
    <s v="Bachelor"/>
    <x v="3"/>
    <n v="2"/>
    <n v="50481"/>
    <x v="1"/>
    <n v="754"/>
    <s v="Mortgage"/>
    <n v="1"/>
    <n v="270"/>
    <x v="3"/>
    <x v="7"/>
    <x v="308"/>
    <n v="60"/>
    <n v="11.78"/>
    <n v="467.02"/>
    <n v="17.5"/>
    <x v="3"/>
    <s v="Current"/>
    <n v="0"/>
    <x v="0"/>
    <n v="12427.9"/>
    <n v="0"/>
  </r>
  <r>
    <s v="LN-00476"/>
    <s v="BRW-0397"/>
    <d v="2024-08-11T00:00:00"/>
    <n v="65"/>
    <s v="AZ"/>
    <s v="Master"/>
    <x v="0"/>
    <n v="31"/>
    <n v="131113"/>
    <x v="2"/>
    <n v="797"/>
    <s v="Own"/>
    <n v="1"/>
    <n v="892"/>
    <x v="3"/>
    <x v="1"/>
    <x v="128"/>
    <n v="12"/>
    <n v="7.52"/>
    <n v="1032.52"/>
    <n v="17.600000000000001"/>
    <x v="3"/>
    <s v="Paid Off"/>
    <n v="0"/>
    <x v="0"/>
    <n v="894.87999999999988"/>
    <n v="0"/>
  </r>
  <r>
    <s v="LN-00477"/>
    <s v="BRW-0398"/>
    <d v="2024-10-30T00:00:00"/>
    <n v="63"/>
    <s v="MN"/>
    <s v="Associate"/>
    <x v="0"/>
    <n v="14"/>
    <n v="60720"/>
    <x v="2"/>
    <n v="830"/>
    <s v="Rent"/>
    <n v="3"/>
    <n v="1566"/>
    <x v="3"/>
    <x v="2"/>
    <x v="82"/>
    <n v="36"/>
    <n v="10.43"/>
    <n v="883.17"/>
    <n v="48.4"/>
    <x v="0"/>
    <s v="Current"/>
    <n v="0"/>
    <x v="0"/>
    <n v="8510.880000000001"/>
    <n v="0"/>
  </r>
  <r>
    <s v="LN-00478"/>
    <s v="BRW-0399"/>
    <d v="2024-10-03T00:00:00"/>
    <n v="66"/>
    <s v="MN"/>
    <s v="Master"/>
    <x v="1"/>
    <n v="30"/>
    <n v="111374"/>
    <x v="2"/>
    <n v="672"/>
    <s v="Mortgage"/>
    <n v="2"/>
    <n v="1153"/>
    <x v="4"/>
    <x v="7"/>
    <x v="228"/>
    <n v="36"/>
    <n v="13.44"/>
    <n v="1108.74"/>
    <n v="24.4"/>
    <x v="4"/>
    <s v="Paid Off"/>
    <n v="0"/>
    <x v="0"/>
    <n v="13184.64"/>
    <n v="0"/>
  </r>
  <r>
    <s v="LN-00479"/>
    <s v="BRW-0400"/>
    <d v="2025-01-12T00:00:00"/>
    <n v="57"/>
    <s v="OK"/>
    <s v="Master"/>
    <x v="3"/>
    <n v="32"/>
    <n v="30579"/>
    <x v="2"/>
    <n v="605"/>
    <s v="Rent"/>
    <n v="1"/>
    <n v="338"/>
    <x v="1"/>
    <x v="7"/>
    <x v="16"/>
    <n v="36"/>
    <n v="13.08"/>
    <n v="67.459999999999994"/>
    <n v="15.9"/>
    <x v="3"/>
    <s v="Late"/>
    <n v="15"/>
    <x v="0"/>
    <n v="784.80000000000007"/>
    <n v="0"/>
  </r>
  <r>
    <s v="LN-00480"/>
    <s v="BRW-0400"/>
    <d v="2024-02-28T00:00:00"/>
    <n v="57"/>
    <s v="OK"/>
    <s v="Master"/>
    <x v="3"/>
    <n v="32"/>
    <n v="30579"/>
    <x v="2"/>
    <n v="605"/>
    <s v="Rent"/>
    <n v="1"/>
    <n v="338"/>
    <x v="1"/>
    <x v="3"/>
    <x v="12"/>
    <n v="60"/>
    <n v="11.39"/>
    <n v="344.42"/>
    <n v="26.8"/>
    <x v="4"/>
    <s v="Current"/>
    <n v="0"/>
    <x v="0"/>
    <n v="8941.15"/>
    <n v="0"/>
  </r>
  <r>
    <s v="LN-00481"/>
    <s v="BRW-0401"/>
    <d v="2024-04-18T00:00:00"/>
    <n v="53"/>
    <s v="WA"/>
    <s v="Associate"/>
    <x v="1"/>
    <n v="14"/>
    <n v="42250"/>
    <x v="2"/>
    <n v="789"/>
    <s v="Mortgage"/>
    <n v="1"/>
    <n v="589"/>
    <x v="3"/>
    <x v="3"/>
    <x v="308"/>
    <n v="60"/>
    <n v="10.14"/>
    <n v="449.77"/>
    <n v="29.5"/>
    <x v="4"/>
    <s v="Paid Off"/>
    <n v="0"/>
    <x v="0"/>
    <n v="10697.7"/>
    <n v="0"/>
  </r>
  <r>
    <s v="LN-00482"/>
    <s v="BRW-0402"/>
    <d v="2024-07-27T00:00:00"/>
    <n v="51"/>
    <s v="TN"/>
    <s v="Bachelor"/>
    <x v="3"/>
    <n v="28"/>
    <n v="25418"/>
    <x v="2"/>
    <n v="780"/>
    <s v="Mortgage"/>
    <n v="2"/>
    <n v="124"/>
    <x v="3"/>
    <x v="9"/>
    <x v="188"/>
    <n v="24"/>
    <n v="8.6199999999999992"/>
    <n v="923.86"/>
    <n v="49.5"/>
    <x v="0"/>
    <s v="Paid Off"/>
    <n v="0"/>
    <x v="0"/>
    <n v="3499.72"/>
    <n v="0"/>
  </r>
  <r>
    <s v="LN-00483"/>
    <s v="BRW-0403"/>
    <d v="2024-04-05T00:00:00"/>
    <n v="47"/>
    <s v="WI"/>
    <s v="Bachelor"/>
    <x v="3"/>
    <n v="25"/>
    <n v="22335"/>
    <x v="2"/>
    <n v="571"/>
    <s v="Mortgage"/>
    <n v="2"/>
    <n v="921"/>
    <x v="0"/>
    <x v="7"/>
    <x v="93"/>
    <n v="24"/>
    <n v="14.99"/>
    <n v="606.02"/>
    <n v="82"/>
    <x v="2"/>
    <s v="Default"/>
    <n v="147"/>
    <x v="1"/>
    <n v="0"/>
    <n v="12500"/>
  </r>
  <r>
    <s v="LN-00484"/>
    <s v="BRW-0404"/>
    <d v="2024-01-22T00:00:00"/>
    <n v="57"/>
    <s v="OK"/>
    <s v="Associate"/>
    <x v="0"/>
    <n v="3"/>
    <n v="73306"/>
    <x v="1"/>
    <n v="721"/>
    <s v="Rent"/>
    <n v="1"/>
    <n v="2016"/>
    <x v="2"/>
    <x v="5"/>
    <x v="266"/>
    <n v="24"/>
    <n v="11.22"/>
    <n v="934.2"/>
    <n v="48.3"/>
    <x v="0"/>
    <s v="Late"/>
    <n v="15"/>
    <x v="0"/>
    <n v="4488"/>
    <n v="0"/>
  </r>
  <r>
    <s v="LN-00485"/>
    <s v="BRW-0405"/>
    <d v="2025-02-16T00:00:00"/>
    <n v="61"/>
    <s v="MN"/>
    <s v="Bachelor"/>
    <x v="0"/>
    <n v="7"/>
    <n v="63778"/>
    <x v="0"/>
    <n v="766"/>
    <s v="Own"/>
    <n v="0"/>
    <n v="1172"/>
    <x v="3"/>
    <x v="7"/>
    <x v="309"/>
    <n v="24"/>
    <n v="9.51"/>
    <n v="165.31"/>
    <n v="25.2"/>
    <x v="4"/>
    <s v="Paid Off"/>
    <n v="0"/>
    <x v="0"/>
    <n v="684.72"/>
    <n v="0"/>
  </r>
  <r>
    <s v="LN-00486"/>
    <s v="BRW-0406"/>
    <d v="2024-02-14T00:00:00"/>
    <n v="62"/>
    <s v="TN"/>
    <s v="Doctorate"/>
    <x v="1"/>
    <n v="2"/>
    <n v="121047"/>
    <x v="1"/>
    <n v="604"/>
    <s v="Rent"/>
    <n v="0"/>
    <n v="4119"/>
    <x v="1"/>
    <x v="9"/>
    <x v="139"/>
    <n v="12"/>
    <n v="14.07"/>
    <n v="1832.33"/>
    <n v="59"/>
    <x v="0"/>
    <s v="Default"/>
    <n v="51"/>
    <x v="1"/>
    <n v="0"/>
    <n v="20400"/>
  </r>
  <r>
    <s v="LN-00487"/>
    <s v="BRW-0406"/>
    <d v="2024-01-10T00:00:00"/>
    <n v="62"/>
    <s v="TN"/>
    <s v="Doctorate"/>
    <x v="1"/>
    <n v="2"/>
    <n v="121047"/>
    <x v="1"/>
    <n v="604"/>
    <s v="Rent"/>
    <n v="0"/>
    <n v="4119"/>
    <x v="1"/>
    <x v="3"/>
    <x v="184"/>
    <n v="12"/>
    <n v="13.9"/>
    <n v="2880.66"/>
    <n v="69.400000000000006"/>
    <x v="2"/>
    <s v="Paid Off"/>
    <n v="0"/>
    <x v="0"/>
    <n v="4461.9000000000005"/>
    <n v="0"/>
  </r>
  <r>
    <s v="LN-00488"/>
    <s v="BRW-0407"/>
    <d v="2024-06-16T00:00:00"/>
    <n v="68"/>
    <s v="OR"/>
    <s v="Bachelor"/>
    <x v="1"/>
    <n v="25"/>
    <n v="53099"/>
    <x v="2"/>
    <n v="591"/>
    <s v="Own"/>
    <n v="2"/>
    <n v="1807"/>
    <x v="0"/>
    <x v="6"/>
    <x v="132"/>
    <n v="60"/>
    <n v="14.61"/>
    <n v="351.43"/>
    <n v="48.8"/>
    <x v="0"/>
    <s v="Default"/>
    <n v="152"/>
    <x v="1"/>
    <n v="0"/>
    <n v="14900"/>
  </r>
  <r>
    <s v="LN-00489"/>
    <s v="BRW-0408"/>
    <d v="2024-02-15T00:00:00"/>
    <n v="28"/>
    <s v="MA"/>
    <s v="Master"/>
    <x v="1"/>
    <n v="1"/>
    <n v="108932"/>
    <x v="3"/>
    <n v="846"/>
    <s v="Rent"/>
    <n v="1"/>
    <n v="3128"/>
    <x v="3"/>
    <x v="8"/>
    <x v="165"/>
    <n v="60"/>
    <n v="6.52"/>
    <n v="289.72000000000003"/>
    <n v="37.6"/>
    <x v="1"/>
    <s v="Default"/>
    <n v="105"/>
    <x v="1"/>
    <n v="0"/>
    <n v="14800"/>
  </r>
  <r>
    <s v="LN-00490"/>
    <s v="BRW-0409"/>
    <d v="2025-01-29T00:00:00"/>
    <n v="54"/>
    <s v="TN"/>
    <s v="High School"/>
    <x v="1"/>
    <n v="27"/>
    <n v="41068"/>
    <x v="2"/>
    <n v="554"/>
    <s v="Rent"/>
    <n v="3"/>
    <n v="1507"/>
    <x v="0"/>
    <x v="1"/>
    <x v="302"/>
    <n v="12"/>
    <n v="11.9"/>
    <n v="1580.68"/>
    <n v="90.2"/>
    <x v="2"/>
    <s v="Default"/>
    <n v="103"/>
    <x v="1"/>
    <n v="0"/>
    <n v="17800"/>
  </r>
  <r>
    <s v="LN-00491"/>
    <s v="BRW-0410"/>
    <d v="2024-04-22T00:00:00"/>
    <n v="33"/>
    <s v="WI"/>
    <s v="Bachelor"/>
    <x v="1"/>
    <n v="6"/>
    <n v="92612"/>
    <x v="0"/>
    <n v="593"/>
    <s v="Rent"/>
    <n v="3"/>
    <n v="2331"/>
    <x v="0"/>
    <x v="1"/>
    <x v="7"/>
    <n v="12"/>
    <n v="12.58"/>
    <n v="3235.07"/>
    <n v="72.099999999999994"/>
    <x v="2"/>
    <s v="Default"/>
    <n v="102"/>
    <x v="1"/>
    <n v="0"/>
    <n v="36300"/>
  </r>
  <r>
    <s v="LN-00492"/>
    <s v="BRW-0411"/>
    <d v="2024-06-03T00:00:00"/>
    <n v="46"/>
    <s v="NJ"/>
    <s v="Bachelor"/>
    <x v="3"/>
    <n v="8"/>
    <n v="46630"/>
    <x v="0"/>
    <n v="657"/>
    <s v="Mortgage"/>
    <n v="4"/>
    <n v="1074"/>
    <x v="4"/>
    <x v="9"/>
    <x v="199"/>
    <n v="12"/>
    <n v="13.53"/>
    <n v="1173.32"/>
    <n v="57.8"/>
    <x v="0"/>
    <s v="Default"/>
    <n v="165"/>
    <x v="1"/>
    <n v="0"/>
    <n v="13100"/>
  </r>
  <r>
    <s v="LN-00493"/>
    <s v="BRW-0412"/>
    <d v="2024-10-20T00:00:00"/>
    <n v="30"/>
    <s v="MO"/>
    <s v="High School"/>
    <x v="3"/>
    <n v="4"/>
    <n v="29481"/>
    <x v="1"/>
    <n v="787"/>
    <s v="Rent"/>
    <n v="3"/>
    <n v="997"/>
    <x v="3"/>
    <x v="5"/>
    <x v="310"/>
    <n v="36"/>
    <n v="10.01"/>
    <n v="212.99"/>
    <n v="49.3"/>
    <x v="0"/>
    <s v="Paid Off"/>
    <n v="0"/>
    <x v="0"/>
    <n v="1981.98"/>
    <n v="0"/>
  </r>
  <r>
    <s v="LN-00494"/>
    <s v="BRW-0413"/>
    <d v="2024-06-01T00:00:00"/>
    <n v="57"/>
    <s v="IL"/>
    <s v="Bachelor"/>
    <x v="1"/>
    <n v="22"/>
    <n v="80421"/>
    <x v="2"/>
    <n v="688"/>
    <s v="Rent"/>
    <n v="4"/>
    <n v="2513"/>
    <x v="4"/>
    <x v="3"/>
    <x v="245"/>
    <n v="12"/>
    <n v="12.48"/>
    <n v="3215.55"/>
    <n v="85.5"/>
    <x v="2"/>
    <s v="Current"/>
    <n v="0"/>
    <x v="0"/>
    <n v="4505.2800000000007"/>
    <n v="0"/>
  </r>
  <r>
    <s v="LN-00495"/>
    <s v="BRW-0414"/>
    <d v="2024-10-12T00:00:00"/>
    <n v="33"/>
    <s v="TN"/>
    <s v="Bachelor"/>
    <x v="0"/>
    <n v="12"/>
    <n v="61167"/>
    <x v="2"/>
    <n v="594"/>
    <s v="Mortgage"/>
    <n v="2"/>
    <n v="2657"/>
    <x v="0"/>
    <x v="0"/>
    <x v="25"/>
    <n v="48"/>
    <n v="14.9"/>
    <n v="205.57"/>
    <n v="56.2"/>
    <x v="0"/>
    <s v="Default"/>
    <n v="112"/>
    <x v="1"/>
    <n v="0"/>
    <n v="7400"/>
  </r>
  <r>
    <s v="LN-00496"/>
    <s v="BRW-0415"/>
    <d v="2025-02-27T00:00:00"/>
    <n v="67"/>
    <s v="IN"/>
    <s v="Bachelor"/>
    <x v="0"/>
    <n v="27"/>
    <n v="94280"/>
    <x v="2"/>
    <n v="686"/>
    <s v="Rent"/>
    <n v="0"/>
    <n v="1889"/>
    <x v="4"/>
    <x v="5"/>
    <x v="311"/>
    <n v="48"/>
    <n v="10.69"/>
    <n v="485.64"/>
    <n v="30.2"/>
    <x v="4"/>
    <s v="Current"/>
    <n v="0"/>
    <x v="0"/>
    <n v="8081.6399999999994"/>
    <n v="0"/>
  </r>
  <r>
    <s v="LN-00497"/>
    <s v="BRW-0415"/>
    <d v="2025-06-29T00:00:00"/>
    <n v="67"/>
    <s v="IN"/>
    <s v="Bachelor"/>
    <x v="0"/>
    <n v="27"/>
    <n v="94280"/>
    <x v="2"/>
    <n v="686"/>
    <s v="Rent"/>
    <n v="0"/>
    <n v="1889"/>
    <x v="4"/>
    <x v="7"/>
    <x v="9"/>
    <n v="60"/>
    <n v="11.24"/>
    <n v="620.89"/>
    <n v="31.9"/>
    <x v="4"/>
    <s v="Current"/>
    <n v="0"/>
    <x v="0"/>
    <n v="15960.8"/>
    <n v="0"/>
  </r>
  <r>
    <s v="LN-00498"/>
    <s v="BRW-0416"/>
    <d v="2024-08-28T00:00:00"/>
    <n v="25"/>
    <s v="IL"/>
    <s v="Bachelor"/>
    <x v="1"/>
    <n v="2"/>
    <n v="88461"/>
    <x v="1"/>
    <n v="622"/>
    <s v="Rent"/>
    <n v="3"/>
    <n v="2914"/>
    <x v="1"/>
    <x v="2"/>
    <x v="312"/>
    <n v="24"/>
    <n v="13.15"/>
    <n v="1680.71"/>
    <n v="62.3"/>
    <x v="2"/>
    <s v="Paid Off"/>
    <n v="0"/>
    <x v="0"/>
    <n v="9283.9"/>
    <n v="0"/>
  </r>
  <r>
    <s v="LN-00499"/>
    <s v="BRW-0417"/>
    <d v="2025-01-04T00:00:00"/>
    <n v="40"/>
    <s v="MN"/>
    <s v="Associate"/>
    <x v="1"/>
    <n v="3"/>
    <n v="45971"/>
    <x v="1"/>
    <n v="761"/>
    <s v="Mortgage"/>
    <n v="2"/>
    <n v="1848"/>
    <x v="3"/>
    <x v="0"/>
    <x v="29"/>
    <n v="12"/>
    <n v="11.87"/>
    <n v="4102"/>
    <n v="155.30000000000001"/>
    <x v="2"/>
    <s v="Late"/>
    <n v="15"/>
    <x v="0"/>
    <n v="5483.94"/>
    <n v="0"/>
  </r>
  <r>
    <s v="LN-00500"/>
    <s v="BRW-0418"/>
    <d v="2024-08-17T00:00:00"/>
    <n v="63"/>
    <s v="WA"/>
    <s v="Bachelor"/>
    <x v="1"/>
    <n v="3"/>
    <n v="90638"/>
    <x v="1"/>
    <n v="687"/>
    <s v="Rent"/>
    <n v="1"/>
    <n v="3354"/>
    <x v="4"/>
    <x v="5"/>
    <x v="313"/>
    <n v="48"/>
    <n v="9.76"/>
    <n v="719.55"/>
    <n v="53.9"/>
    <x v="0"/>
    <s v="Default"/>
    <n v="65"/>
    <x v="1"/>
    <n v="0"/>
    <n v="28500"/>
  </r>
  <r>
    <s v="LN-00501"/>
    <s v="BRW-0419"/>
    <d v="2024-04-18T00:00:00"/>
    <n v="65"/>
    <s v="LA"/>
    <s v="Associate"/>
    <x v="3"/>
    <n v="12"/>
    <n v="16498"/>
    <x v="2"/>
    <n v="648"/>
    <s v="Mortgage"/>
    <n v="3"/>
    <n v="373"/>
    <x v="1"/>
    <x v="5"/>
    <x v="314"/>
    <n v="48"/>
    <n v="11.06"/>
    <n v="59.51"/>
    <n v="31.5"/>
    <x v="4"/>
    <s v="Paid Off"/>
    <n v="0"/>
    <x v="0"/>
    <n v="1017.52"/>
    <n v="0"/>
  </r>
  <r>
    <s v="LN-00502"/>
    <s v="BRW-0420"/>
    <d v="2025-03-02T00:00:00"/>
    <n v="36"/>
    <s v="OH"/>
    <s v="Master"/>
    <x v="0"/>
    <n v="6"/>
    <n v="110166"/>
    <x v="0"/>
    <n v="846"/>
    <s v="Rent"/>
    <n v="0"/>
    <n v="1273"/>
    <x v="3"/>
    <x v="8"/>
    <x v="241"/>
    <n v="24"/>
    <n v="6.29"/>
    <n v="391.17"/>
    <n v="18.100000000000001"/>
    <x v="3"/>
    <s v="Paid Off"/>
    <n v="0"/>
    <x v="0"/>
    <n v="1107.04"/>
    <n v="0"/>
  </r>
  <r>
    <s v="LN-00503"/>
    <s v="BRW-0420"/>
    <d v="2025-03-30T00:00:00"/>
    <n v="36"/>
    <s v="OH"/>
    <s v="Master"/>
    <x v="0"/>
    <n v="6"/>
    <n v="110166"/>
    <x v="0"/>
    <n v="846"/>
    <s v="Rent"/>
    <n v="0"/>
    <n v="1273"/>
    <x v="3"/>
    <x v="2"/>
    <x v="31"/>
    <n v="48"/>
    <n v="9.51"/>
    <n v="412.1"/>
    <n v="18.399999999999999"/>
    <x v="3"/>
    <s v="Current"/>
    <n v="0"/>
    <x v="0"/>
    <n v="6238.56"/>
    <n v="0"/>
  </r>
  <r>
    <s v="LN-00504"/>
    <s v="BRW-0421"/>
    <d v="2025-03-09T00:00:00"/>
    <n v="65"/>
    <s v="NC"/>
    <s v="High School"/>
    <x v="4"/>
    <n v="24"/>
    <n v="28964"/>
    <x v="2"/>
    <n v="586"/>
    <s v="Own"/>
    <n v="2"/>
    <n v="277"/>
    <x v="0"/>
    <x v="8"/>
    <x v="40"/>
    <n v="24"/>
    <n v="10.29"/>
    <n v="314.7"/>
    <n v="24.5"/>
    <x v="4"/>
    <s v="Late"/>
    <n v="15"/>
    <x v="0"/>
    <n v="1399.4399999999998"/>
    <n v="0"/>
  </r>
  <r>
    <s v="LN-00505"/>
    <s v="BRW-0422"/>
    <d v="2024-10-05T00:00:00"/>
    <n v="59"/>
    <s v="NJ"/>
    <s v="Master"/>
    <x v="1"/>
    <n v="2"/>
    <n v="94611"/>
    <x v="1"/>
    <n v="619"/>
    <s v="Own"/>
    <n v="2"/>
    <n v="3444"/>
    <x v="1"/>
    <x v="9"/>
    <x v="315"/>
    <n v="48"/>
    <n v="14.34"/>
    <n v="989.9"/>
    <n v="56.2"/>
    <x v="0"/>
    <s v="Paid Off"/>
    <n v="0"/>
    <x v="0"/>
    <n v="20649.599999999999"/>
    <n v="0"/>
  </r>
  <r>
    <s v="LN-00506"/>
    <s v="BRW-0422"/>
    <d v="2024-07-07T00:00:00"/>
    <n v="59"/>
    <s v="NJ"/>
    <s v="Master"/>
    <x v="1"/>
    <n v="2"/>
    <n v="94611"/>
    <x v="1"/>
    <n v="619"/>
    <s v="Own"/>
    <n v="2"/>
    <n v="3444"/>
    <x v="1"/>
    <x v="5"/>
    <x v="138"/>
    <n v="12"/>
    <n v="10.78"/>
    <n v="1871.52"/>
    <n v="67.400000000000006"/>
    <x v="2"/>
    <s v="Late"/>
    <n v="30"/>
    <x v="0"/>
    <n v="2285.3599999999997"/>
    <n v="0"/>
  </r>
  <r>
    <s v="LN-00507"/>
    <s v="BRW-0423"/>
    <d v="2024-06-17T00:00:00"/>
    <n v="62"/>
    <s v="KY"/>
    <s v="Bachelor"/>
    <x v="0"/>
    <n v="35"/>
    <n v="71897"/>
    <x v="2"/>
    <n v="828"/>
    <s v="Mortgage"/>
    <n v="2"/>
    <n v="1873"/>
    <x v="3"/>
    <x v="0"/>
    <x v="226"/>
    <n v="48"/>
    <n v="10.34"/>
    <n v="850.02"/>
    <n v="45.4"/>
    <x v="0"/>
    <s v="Default"/>
    <n v="125"/>
    <x v="1"/>
    <n v="0"/>
    <n v="33300"/>
  </r>
  <r>
    <s v="LN-00508"/>
    <s v="BRW-0424"/>
    <d v="2024-12-09T00:00:00"/>
    <n v="33"/>
    <s v="VA"/>
    <s v="Bachelor"/>
    <x v="0"/>
    <n v="8"/>
    <n v="50767"/>
    <x v="0"/>
    <n v="808"/>
    <s v="Mortgage"/>
    <n v="0"/>
    <n v="662"/>
    <x v="3"/>
    <x v="7"/>
    <x v="100"/>
    <n v="36"/>
    <n v="9.5500000000000007"/>
    <n v="163.49"/>
    <n v="19.5"/>
    <x v="3"/>
    <s v="Default"/>
    <n v="102"/>
    <x v="1"/>
    <n v="0"/>
    <n v="5100"/>
  </r>
  <r>
    <s v="LN-00509"/>
    <s v="BRW-0425"/>
    <d v="2024-07-25T00:00:00"/>
    <n v="43"/>
    <s v="MO"/>
    <s v="Associate"/>
    <x v="1"/>
    <n v="16"/>
    <n v="73304"/>
    <x v="2"/>
    <n v="850"/>
    <s v="Mortgage"/>
    <n v="3"/>
    <n v="3302"/>
    <x v="3"/>
    <x v="6"/>
    <x v="122"/>
    <n v="36"/>
    <n v="6.77"/>
    <n v="535.42999999999995"/>
    <n v="62.8"/>
    <x v="2"/>
    <s v="Current"/>
    <n v="0"/>
    <x v="0"/>
    <n v="3533.94"/>
    <n v="0"/>
  </r>
  <r>
    <s v="LN-00510"/>
    <s v="BRW-0426"/>
    <d v="2024-11-18T00:00:00"/>
    <n v="22"/>
    <s v="GA"/>
    <s v="High School"/>
    <x v="1"/>
    <n v="2"/>
    <n v="30860"/>
    <x v="1"/>
    <n v="850"/>
    <s v="Rent"/>
    <n v="4"/>
    <n v="1006"/>
    <x v="3"/>
    <x v="9"/>
    <x v="90"/>
    <n v="48"/>
    <n v="6.06"/>
    <n v="253.94"/>
    <n v="49"/>
    <x v="0"/>
    <s v="Default"/>
    <n v="109"/>
    <x v="1"/>
    <n v="0"/>
    <n v="10800"/>
  </r>
  <r>
    <s v="LN-00511"/>
    <s v="BRW-0426"/>
    <d v="2024-11-18T00:00:00"/>
    <n v="22"/>
    <s v="GA"/>
    <s v="High School"/>
    <x v="1"/>
    <n v="2"/>
    <n v="30860"/>
    <x v="1"/>
    <n v="850"/>
    <s v="Rent"/>
    <n v="4"/>
    <n v="1006"/>
    <x v="3"/>
    <x v="8"/>
    <x v="103"/>
    <n v="48"/>
    <n v="8.33"/>
    <n v="854.97"/>
    <n v="72.400000000000006"/>
    <x v="2"/>
    <s v="Paid Off"/>
    <n v="0"/>
    <x v="0"/>
    <n v="11595.36"/>
    <n v="0"/>
  </r>
  <r>
    <s v="LN-00512"/>
    <s v="BRW-0427"/>
    <d v="2024-06-02T00:00:00"/>
    <n v="42"/>
    <s v="CA"/>
    <s v="Bachelor"/>
    <x v="0"/>
    <n v="17"/>
    <n v="47833"/>
    <x v="2"/>
    <n v="661"/>
    <s v="Rent"/>
    <n v="3"/>
    <n v="1837"/>
    <x v="4"/>
    <x v="6"/>
    <x v="224"/>
    <n v="60"/>
    <n v="9.49"/>
    <n v="632.01"/>
    <n v="61.9"/>
    <x v="2"/>
    <s v="Default"/>
    <n v="127"/>
    <x v="1"/>
    <n v="0"/>
    <n v="30100"/>
  </r>
  <r>
    <s v="LN-00513"/>
    <s v="BRW-0428"/>
    <d v="2024-04-05T00:00:00"/>
    <n v="45"/>
    <s v="IN"/>
    <s v="Bachelor"/>
    <x v="1"/>
    <n v="20"/>
    <n v="71658"/>
    <x v="2"/>
    <n v="686"/>
    <s v="Own"/>
    <n v="0"/>
    <n v="585"/>
    <x v="4"/>
    <x v="8"/>
    <x v="316"/>
    <n v="48"/>
    <n v="8.9600000000000009"/>
    <n v="216.33"/>
    <n v="13.4"/>
    <x v="3"/>
    <s v="Current"/>
    <n v="0"/>
    <x v="0"/>
    <n v="3118.0800000000004"/>
    <n v="0"/>
  </r>
  <r>
    <s v="LN-00514"/>
    <s v="BRW-0429"/>
    <d v="2025-06-19T00:00:00"/>
    <n v="56"/>
    <s v="AZ"/>
    <s v="Bachelor"/>
    <x v="3"/>
    <n v="13"/>
    <n v="29725"/>
    <x v="2"/>
    <n v="847"/>
    <s v="Rent"/>
    <n v="3"/>
    <n v="378"/>
    <x v="3"/>
    <x v="5"/>
    <x v="317"/>
    <n v="60"/>
    <n v="8.4600000000000009"/>
    <n v="153.72999999999999"/>
    <n v="21.5"/>
    <x v="4"/>
    <s v="Paid Off"/>
    <n v="0"/>
    <x v="0"/>
    <n v="3172.5000000000005"/>
    <n v="0"/>
  </r>
  <r>
    <s v="LN-00515"/>
    <s v="BRW-0430"/>
    <d v="2025-01-31T00:00:00"/>
    <n v="66"/>
    <s v="SC"/>
    <s v="Master"/>
    <x v="0"/>
    <n v="9"/>
    <n v="91943"/>
    <x v="0"/>
    <n v="576"/>
    <s v="Own"/>
    <n v="1"/>
    <n v="718"/>
    <x v="0"/>
    <x v="4"/>
    <x v="318"/>
    <n v="12"/>
    <n v="14.85"/>
    <n v="4247.83"/>
    <n v="64.8"/>
    <x v="2"/>
    <s v="Default"/>
    <n v="49"/>
    <x v="1"/>
    <n v="0"/>
    <n v="47100"/>
  </r>
  <r>
    <s v="LN-00516"/>
    <s v="BRW-0431"/>
    <d v="2024-11-12T00:00:00"/>
    <n v="25"/>
    <s v="MA"/>
    <s v="High School"/>
    <x v="1"/>
    <n v="2"/>
    <n v="24879"/>
    <x v="1"/>
    <n v="641"/>
    <s v="Mortgage"/>
    <n v="2"/>
    <n v="552"/>
    <x v="1"/>
    <x v="9"/>
    <x v="170"/>
    <n v="12"/>
    <n v="10.029999999999999"/>
    <n v="1231.02"/>
    <n v="86"/>
    <x v="2"/>
    <s v="Late"/>
    <n v="30"/>
    <x v="0"/>
    <n v="1404.2"/>
    <n v="0"/>
  </r>
  <r>
    <s v="LN-00517"/>
    <s v="BRW-0431"/>
    <d v="2024-06-14T00:00:00"/>
    <n v="25"/>
    <s v="MA"/>
    <s v="High School"/>
    <x v="1"/>
    <n v="2"/>
    <n v="24879"/>
    <x v="1"/>
    <n v="641"/>
    <s v="Mortgage"/>
    <n v="2"/>
    <n v="552"/>
    <x v="1"/>
    <x v="6"/>
    <x v="280"/>
    <n v="24"/>
    <n v="13.99"/>
    <n v="542.49"/>
    <n v="52.8"/>
    <x v="0"/>
    <s v="Default"/>
    <n v="177"/>
    <x v="1"/>
    <n v="0"/>
    <n v="11300"/>
  </r>
  <r>
    <s v="LN-00518"/>
    <s v="BRW-0432"/>
    <d v="2025-04-29T00:00:00"/>
    <n v="23"/>
    <s v="MD"/>
    <s v="Bachelor"/>
    <x v="1"/>
    <n v="0"/>
    <n v="40976"/>
    <x v="3"/>
    <n v="846"/>
    <s v="Rent"/>
    <n v="0"/>
    <n v="1618"/>
    <x v="3"/>
    <x v="6"/>
    <x v="319"/>
    <n v="48"/>
    <n v="7.19"/>
    <n v="283.61"/>
    <n v="55.7"/>
    <x v="0"/>
    <s v="Current"/>
    <n v="0"/>
    <x v="0"/>
    <n v="3393.6800000000003"/>
    <n v="0"/>
  </r>
  <r>
    <s v="LN-00519"/>
    <s v="BRW-0433"/>
    <d v="2025-02-14T00:00:00"/>
    <n v="44"/>
    <s v="LA"/>
    <s v="Master"/>
    <x v="1"/>
    <n v="19"/>
    <n v="122115"/>
    <x v="2"/>
    <n v="704"/>
    <s v="Own"/>
    <n v="3"/>
    <n v="2449"/>
    <x v="2"/>
    <x v="6"/>
    <x v="125"/>
    <n v="36"/>
    <n v="12.56"/>
    <n v="850.45"/>
    <n v="32.4"/>
    <x v="4"/>
    <s v="Late"/>
    <n v="0"/>
    <x v="0"/>
    <n v="9570.7200000000012"/>
    <n v="0"/>
  </r>
  <r>
    <s v="LN-00520"/>
    <s v="BRW-0433"/>
    <d v="2025-02-27T00:00:00"/>
    <n v="44"/>
    <s v="LA"/>
    <s v="Master"/>
    <x v="1"/>
    <n v="19"/>
    <n v="122115"/>
    <x v="2"/>
    <n v="704"/>
    <s v="Own"/>
    <n v="3"/>
    <n v="2449"/>
    <x v="2"/>
    <x v="0"/>
    <x v="320"/>
    <n v="36"/>
    <n v="10.14"/>
    <n v="1377.38"/>
    <n v="37.6"/>
    <x v="1"/>
    <s v="Paid Off"/>
    <n v="0"/>
    <x v="0"/>
    <n v="12958.920000000002"/>
    <n v="0"/>
  </r>
  <r>
    <s v="LN-00521"/>
    <s v="BRW-0434"/>
    <d v="2024-01-09T00:00:00"/>
    <n v="64"/>
    <s v="CO"/>
    <s v="High School"/>
    <x v="1"/>
    <n v="34"/>
    <n v="30139"/>
    <x v="2"/>
    <n v="725"/>
    <s v="Mortgage"/>
    <n v="0"/>
    <n v="976"/>
    <x v="2"/>
    <x v="9"/>
    <x v="121"/>
    <n v="24"/>
    <n v="11.42"/>
    <n v="205.93"/>
    <n v="47.1"/>
    <x v="0"/>
    <s v="Current"/>
    <n v="0"/>
    <x v="0"/>
    <n v="1004.9599999999999"/>
    <n v="0"/>
  </r>
  <r>
    <s v="LN-00522"/>
    <s v="BRW-0435"/>
    <d v="2025-04-24T00:00:00"/>
    <n v="68"/>
    <s v="CA"/>
    <s v="Bachelor"/>
    <x v="4"/>
    <n v="9"/>
    <n v="24786"/>
    <x v="0"/>
    <n v="809"/>
    <s v="Own"/>
    <n v="2"/>
    <n v="510"/>
    <x v="3"/>
    <x v="6"/>
    <x v="126"/>
    <n v="12"/>
    <n v="8.26"/>
    <n v="1097.57"/>
    <n v="77.8"/>
    <x v="2"/>
    <s v="Late"/>
    <n v="15"/>
    <x v="0"/>
    <n v="1040.76"/>
    <n v="0"/>
  </r>
  <r>
    <s v="LN-00523"/>
    <s v="BRW-0436"/>
    <d v="2024-12-02T00:00:00"/>
    <n v="57"/>
    <s v="CO"/>
    <s v="Master"/>
    <x v="1"/>
    <n v="13"/>
    <n v="118803"/>
    <x v="2"/>
    <n v="721"/>
    <s v="Mortgage"/>
    <n v="3"/>
    <n v="1200"/>
    <x v="2"/>
    <x v="6"/>
    <x v="321"/>
    <n v="48"/>
    <n v="8.98"/>
    <n v="1151.74"/>
    <n v="23.8"/>
    <x v="4"/>
    <s v="Late"/>
    <n v="0"/>
    <x v="0"/>
    <n v="16630.96"/>
    <n v="0"/>
  </r>
  <r>
    <s v="LN-00524"/>
    <s v="BRW-0437"/>
    <d v="2025-04-26T00:00:00"/>
    <n v="33"/>
    <s v="OK"/>
    <s v="Associate"/>
    <x v="2"/>
    <n v="10"/>
    <n v="38377"/>
    <x v="0"/>
    <n v="617"/>
    <s v="Rent"/>
    <n v="0"/>
    <n v="1360"/>
    <x v="1"/>
    <x v="0"/>
    <x v="316"/>
    <n v="60"/>
    <n v="10.5"/>
    <n v="187"/>
    <n v="48.4"/>
    <x v="0"/>
    <s v="Default"/>
    <n v="84"/>
    <x v="1"/>
    <n v="0"/>
    <n v="8700"/>
  </r>
  <r>
    <s v="LN-00525"/>
    <s v="BRW-0438"/>
    <d v="2025-01-05T00:00:00"/>
    <n v="57"/>
    <s v="AL"/>
    <s v="Bachelor"/>
    <x v="1"/>
    <n v="16"/>
    <n v="59143"/>
    <x v="2"/>
    <n v="564"/>
    <s v="Own"/>
    <n v="2"/>
    <n v="2591"/>
    <x v="0"/>
    <x v="8"/>
    <x v="6"/>
    <n v="12"/>
    <n v="15.28"/>
    <n v="3543.31"/>
    <n v="124.5"/>
    <x v="2"/>
    <s v="Late"/>
    <n v="30"/>
    <x v="0"/>
    <n v="5989.7599999999993"/>
    <n v="0"/>
  </r>
  <r>
    <s v="LN-00526"/>
    <s v="BRW-0439"/>
    <d v="2024-06-29T00:00:00"/>
    <n v="44"/>
    <s v="NJ"/>
    <s v="High School"/>
    <x v="0"/>
    <n v="2"/>
    <n v="25921"/>
    <x v="1"/>
    <n v="842"/>
    <s v="Rent"/>
    <n v="1"/>
    <n v="462"/>
    <x v="3"/>
    <x v="8"/>
    <x v="60"/>
    <n v="36"/>
    <n v="7.23"/>
    <n v="811.74"/>
    <n v="59"/>
    <x v="0"/>
    <s v="Default"/>
    <n v="47"/>
    <x v="1"/>
    <n v="0"/>
    <n v="26200"/>
  </r>
  <r>
    <s v="LN-00527"/>
    <s v="BRW-0440"/>
    <d v="2024-09-22T00:00:00"/>
    <n v="64"/>
    <s v="PA"/>
    <s v="Associate"/>
    <x v="3"/>
    <n v="20"/>
    <n v="30540"/>
    <x v="2"/>
    <n v="711"/>
    <s v="Rent"/>
    <n v="0"/>
    <n v="440"/>
    <x v="2"/>
    <x v="6"/>
    <x v="132"/>
    <n v="48"/>
    <n v="10.77"/>
    <n v="383.44"/>
    <n v="32.4"/>
    <x v="4"/>
    <s v="Paid Off"/>
    <n v="0"/>
    <x v="0"/>
    <n v="6418.9199999999992"/>
    <n v="0"/>
  </r>
  <r>
    <s v="LN-00528"/>
    <s v="BRW-0441"/>
    <d v="2024-06-13T00:00:00"/>
    <n v="36"/>
    <s v="NJ"/>
    <s v="Master"/>
    <x v="3"/>
    <n v="4"/>
    <n v="43086"/>
    <x v="1"/>
    <n v="714"/>
    <s v="Rent"/>
    <n v="3"/>
    <n v="1010"/>
    <x v="2"/>
    <x v="3"/>
    <x v="241"/>
    <n v="48"/>
    <n v="10.51"/>
    <n v="225.35"/>
    <n v="34.4"/>
    <x v="4"/>
    <s v="Paid Off"/>
    <n v="0"/>
    <x v="0"/>
    <n v="3699.52"/>
    <n v="0"/>
  </r>
  <r>
    <s v="LN-00529"/>
    <s v="BRW-0442"/>
    <d v="2024-05-28T00:00:00"/>
    <n v="44"/>
    <s v="NC"/>
    <s v="Master"/>
    <x v="1"/>
    <n v="19"/>
    <n v="63937"/>
    <x v="2"/>
    <n v="850"/>
    <s v="Own"/>
    <n v="3"/>
    <n v="639"/>
    <x v="3"/>
    <x v="8"/>
    <x v="322"/>
    <n v="24"/>
    <n v="6.22"/>
    <n v="1994.45"/>
    <n v="49.4"/>
    <x v="0"/>
    <s v="Late"/>
    <n v="30"/>
    <x v="0"/>
    <n v="5585.5599999999995"/>
    <n v="0"/>
  </r>
  <r>
    <s v="LN-00530"/>
    <s v="BRW-0443"/>
    <d v="2024-11-20T00:00:00"/>
    <n v="56"/>
    <s v="CO"/>
    <s v="High School"/>
    <x v="0"/>
    <n v="1"/>
    <n v="44456"/>
    <x v="3"/>
    <n v="568"/>
    <s v="Rent"/>
    <n v="0"/>
    <n v="1263"/>
    <x v="0"/>
    <x v="4"/>
    <x v="42"/>
    <n v="24"/>
    <n v="13.03"/>
    <n v="608.72"/>
    <n v="50.5"/>
    <x v="0"/>
    <s v="Default"/>
    <n v="134"/>
    <x v="1"/>
    <n v="0"/>
    <n v="12800"/>
  </r>
  <r>
    <s v="LN-00531"/>
    <s v="BRW-0444"/>
    <d v="2024-04-09T00:00:00"/>
    <n v="47"/>
    <s v="MO"/>
    <s v="Master"/>
    <x v="1"/>
    <n v="17"/>
    <n v="57745"/>
    <x v="2"/>
    <n v="663"/>
    <s v="Rent"/>
    <n v="1"/>
    <n v="2105"/>
    <x v="4"/>
    <x v="8"/>
    <x v="323"/>
    <n v="24"/>
    <n v="12.12"/>
    <n v="2229.23"/>
    <n v="90.1"/>
    <x v="2"/>
    <s v="Default"/>
    <n v="78"/>
    <x v="1"/>
    <n v="0"/>
    <n v="47300"/>
  </r>
  <r>
    <s v="LN-00532"/>
    <s v="BRW-0445"/>
    <d v="2024-07-14T00:00:00"/>
    <n v="45"/>
    <s v="IN"/>
    <s v="Bachelor"/>
    <x v="2"/>
    <n v="4"/>
    <n v="78216"/>
    <x v="1"/>
    <n v="683"/>
    <s v="Mortgage"/>
    <n v="0"/>
    <n v="1511"/>
    <x v="4"/>
    <x v="2"/>
    <x v="288"/>
    <n v="24"/>
    <n v="10.36"/>
    <n v="1426.39"/>
    <n v="45.1"/>
    <x v="0"/>
    <s v="Current"/>
    <n v="0"/>
    <x v="0"/>
    <n v="6381.76"/>
    <n v="0"/>
  </r>
  <r>
    <s v="LN-00533"/>
    <s v="BRW-0446"/>
    <d v="2025-04-11T00:00:00"/>
    <n v="22"/>
    <s v="IN"/>
    <s v="Bachelor"/>
    <x v="2"/>
    <n v="2"/>
    <n v="92057"/>
    <x v="1"/>
    <n v="850"/>
    <s v="Own"/>
    <n v="0"/>
    <n v="994"/>
    <x v="3"/>
    <x v="8"/>
    <x v="324"/>
    <n v="12"/>
    <n v="9.33"/>
    <n v="1463"/>
    <n v="32"/>
    <x v="4"/>
    <s v="Paid Off"/>
    <n v="0"/>
    <x v="0"/>
    <n v="1558.11"/>
    <n v="0"/>
  </r>
  <r>
    <s v="LN-00534"/>
    <s v="BRW-0446"/>
    <d v="2025-04-14T00:00:00"/>
    <n v="22"/>
    <s v="IN"/>
    <s v="Bachelor"/>
    <x v="2"/>
    <n v="2"/>
    <n v="92057"/>
    <x v="1"/>
    <n v="850"/>
    <s v="Own"/>
    <n v="0"/>
    <n v="994"/>
    <x v="3"/>
    <x v="1"/>
    <x v="303"/>
    <n v="12"/>
    <n v="10.47"/>
    <n v="3410.81"/>
    <n v="57.4"/>
    <x v="0"/>
    <s v="Current"/>
    <n v="0"/>
    <x v="0"/>
    <n v="4051.89"/>
    <n v="0"/>
  </r>
  <r>
    <s v="LN-00535"/>
    <s v="BRW-0447"/>
    <d v="2024-04-11T00:00:00"/>
    <n v="58"/>
    <s v="LA"/>
    <s v="Master"/>
    <x v="0"/>
    <n v="22"/>
    <n v="137631"/>
    <x v="2"/>
    <n v="797"/>
    <s v="Own"/>
    <n v="1"/>
    <n v="933"/>
    <x v="3"/>
    <x v="1"/>
    <x v="325"/>
    <n v="48"/>
    <n v="9.89"/>
    <n v="852.94"/>
    <n v="15.6"/>
    <x v="3"/>
    <s v="Current"/>
    <n v="0"/>
    <x v="0"/>
    <n v="13331.72"/>
    <n v="0"/>
  </r>
  <r>
    <s v="LN-00536"/>
    <s v="BRW-0448"/>
    <d v="2024-04-12T00:00:00"/>
    <n v="45"/>
    <s v="MA"/>
    <s v="Associate"/>
    <x v="0"/>
    <n v="12"/>
    <n v="53326"/>
    <x v="2"/>
    <n v="714"/>
    <s v="Mortgage"/>
    <n v="3"/>
    <n v="310"/>
    <x v="2"/>
    <x v="9"/>
    <x v="156"/>
    <n v="60"/>
    <n v="12.74"/>
    <n v="158.34"/>
    <n v="10.5"/>
    <x v="3"/>
    <s v="Paid Off"/>
    <n v="0"/>
    <x v="0"/>
    <n v="4459"/>
    <n v="0"/>
  </r>
  <r>
    <s v="LN-00537"/>
    <s v="BRW-0449"/>
    <d v="2024-07-19T00:00:00"/>
    <n v="63"/>
    <s v="MD"/>
    <s v="Associate"/>
    <x v="0"/>
    <n v="16"/>
    <n v="53487"/>
    <x v="2"/>
    <n v="670"/>
    <s v="Mortgage"/>
    <n v="0"/>
    <n v="1679"/>
    <x v="4"/>
    <x v="1"/>
    <x v="227"/>
    <n v="60"/>
    <n v="10.74"/>
    <n v="507.91"/>
    <n v="49.1"/>
    <x v="0"/>
    <s v="Late"/>
    <n v="30"/>
    <x v="0"/>
    <n v="12619.5"/>
    <n v="0"/>
  </r>
  <r>
    <s v="LN-00538"/>
    <s v="BRW-0450"/>
    <d v="2025-01-18T00:00:00"/>
    <n v="45"/>
    <s v="GA"/>
    <s v="Bachelor"/>
    <x v="2"/>
    <n v="12"/>
    <n v="45566"/>
    <x v="2"/>
    <n v="658"/>
    <s v="Rent"/>
    <n v="1"/>
    <n v="859"/>
    <x v="4"/>
    <x v="0"/>
    <x v="224"/>
    <n v="48"/>
    <n v="9.07"/>
    <n v="750.04"/>
    <n v="42.4"/>
    <x v="1"/>
    <s v="Current"/>
    <n v="0"/>
    <x v="0"/>
    <n v="10920.28"/>
    <n v="0"/>
  </r>
  <r>
    <s v="LN-00539"/>
    <s v="BRW-0451"/>
    <d v="2024-01-05T00:00:00"/>
    <n v="44"/>
    <s v="GA"/>
    <s v="Bachelor"/>
    <x v="1"/>
    <n v="4"/>
    <n v="79148"/>
    <x v="1"/>
    <n v="791"/>
    <s v="Mortgage"/>
    <n v="0"/>
    <n v="2451"/>
    <x v="3"/>
    <x v="3"/>
    <x v="326"/>
    <n v="48"/>
    <n v="10.18"/>
    <n v="1023.05"/>
    <n v="52.7"/>
    <x v="0"/>
    <s v="Current"/>
    <n v="0"/>
    <x v="0"/>
    <n v="16369.44"/>
    <n v="0"/>
  </r>
  <r>
    <s v="LN-00540"/>
    <s v="BRW-0452"/>
    <d v="2024-06-23T00:00:00"/>
    <n v="35"/>
    <s v="NJ"/>
    <s v="High School"/>
    <x v="1"/>
    <n v="7"/>
    <n v="43591"/>
    <x v="0"/>
    <n v="590"/>
    <s v="Mortgage"/>
    <n v="2"/>
    <n v="1056"/>
    <x v="0"/>
    <x v="4"/>
    <x v="287"/>
    <n v="60"/>
    <n v="11.75"/>
    <n v="594.98"/>
    <n v="45.4"/>
    <x v="0"/>
    <s v="Late"/>
    <n v="30"/>
    <x v="0"/>
    <n v="15803.75"/>
    <n v="0"/>
  </r>
  <r>
    <s v="LN-00541"/>
    <s v="BRW-0453"/>
    <d v="2025-03-15T00:00:00"/>
    <n v="52"/>
    <s v="IL"/>
    <s v="Bachelor"/>
    <x v="3"/>
    <n v="1"/>
    <n v="45042"/>
    <x v="3"/>
    <n v="740"/>
    <s v="Own"/>
    <n v="2"/>
    <n v="490"/>
    <x v="2"/>
    <x v="7"/>
    <x v="327"/>
    <n v="12"/>
    <n v="11.67"/>
    <n v="1738.41"/>
    <n v="59.4"/>
    <x v="0"/>
    <s v="Default"/>
    <n v="129"/>
    <x v="1"/>
    <n v="0"/>
    <n v="19600"/>
  </r>
  <r>
    <s v="LN-00542"/>
    <s v="BRW-0453"/>
    <d v="2024-04-11T00:00:00"/>
    <n v="52"/>
    <s v="IL"/>
    <s v="Bachelor"/>
    <x v="3"/>
    <n v="1"/>
    <n v="45042"/>
    <x v="3"/>
    <n v="740"/>
    <s v="Own"/>
    <n v="2"/>
    <n v="490"/>
    <x v="2"/>
    <x v="5"/>
    <x v="126"/>
    <n v="24"/>
    <n v="9.85"/>
    <n v="580.54999999999995"/>
    <n v="28.5"/>
    <x v="4"/>
    <s v="Current"/>
    <n v="0"/>
    <x v="0"/>
    <n v="2482.1999999999998"/>
    <n v="0"/>
  </r>
  <r>
    <s v="LN-00543"/>
    <s v="BRW-0454"/>
    <d v="2024-06-11T00:00:00"/>
    <n v="62"/>
    <s v="IN"/>
    <s v="Bachelor"/>
    <x v="2"/>
    <n v="16"/>
    <n v="49969"/>
    <x v="2"/>
    <n v="615"/>
    <s v="Rent"/>
    <n v="4"/>
    <n v="1456"/>
    <x v="1"/>
    <x v="1"/>
    <x v="184"/>
    <n v="36"/>
    <n v="13.94"/>
    <n v="1096.17"/>
    <n v="61.3"/>
    <x v="2"/>
    <s v="Current"/>
    <n v="0"/>
    <x v="0"/>
    <n v="13424.22"/>
    <n v="0"/>
  </r>
  <r>
    <s v="LN-00544"/>
    <s v="BRW-0455"/>
    <d v="2024-03-21T00:00:00"/>
    <n v="58"/>
    <s v="WI"/>
    <s v="Bachelor"/>
    <x v="2"/>
    <n v="5"/>
    <n v="87044"/>
    <x v="1"/>
    <n v="685"/>
    <s v="Own"/>
    <n v="4"/>
    <n v="3508"/>
    <x v="4"/>
    <x v="9"/>
    <x v="206"/>
    <n v="60"/>
    <n v="13.19"/>
    <n v="612.39"/>
    <n v="56.8"/>
    <x v="0"/>
    <s v="Paid Off"/>
    <n v="0"/>
    <x v="0"/>
    <n v="17674.599999999999"/>
    <n v="0"/>
  </r>
  <r>
    <s v="LN-00545"/>
    <s v="BRW-0456"/>
    <d v="2024-09-08T00:00:00"/>
    <n v="32"/>
    <s v="MN"/>
    <s v="Associate"/>
    <x v="1"/>
    <n v="12"/>
    <n v="35993"/>
    <x v="2"/>
    <n v="823"/>
    <s v="Own"/>
    <n v="1"/>
    <n v="401"/>
    <x v="3"/>
    <x v="4"/>
    <x v="264"/>
    <n v="24"/>
    <n v="7.77"/>
    <n v="586.59"/>
    <n v="32.9"/>
    <x v="4"/>
    <s v="Current"/>
    <n v="0"/>
    <x v="0"/>
    <n v="2020.1999999999998"/>
    <n v="0"/>
  </r>
  <r>
    <s v="LN-00546"/>
    <s v="BRW-0456"/>
    <d v="2024-04-15T00:00:00"/>
    <n v="32"/>
    <s v="MN"/>
    <s v="Associate"/>
    <x v="1"/>
    <n v="12"/>
    <n v="35993"/>
    <x v="2"/>
    <n v="823"/>
    <s v="Own"/>
    <n v="1"/>
    <n v="401"/>
    <x v="3"/>
    <x v="3"/>
    <x v="116"/>
    <n v="24"/>
    <n v="9.42"/>
    <n v="559.71"/>
    <n v="32"/>
    <x v="4"/>
    <s v="Late"/>
    <n v="15"/>
    <x v="0"/>
    <n v="2298.48"/>
    <n v="0"/>
  </r>
  <r>
    <s v="LN-00547"/>
    <s v="BRW-0457"/>
    <d v="2024-07-31T00:00:00"/>
    <n v="65"/>
    <s v="FL"/>
    <s v="Associate"/>
    <x v="1"/>
    <n v="24"/>
    <n v="56685"/>
    <x v="2"/>
    <n v="647"/>
    <s v="Mortgage"/>
    <n v="0"/>
    <n v="1470"/>
    <x v="1"/>
    <x v="3"/>
    <x v="119"/>
    <n v="48"/>
    <n v="13.44"/>
    <n v="175.8"/>
    <n v="34.799999999999997"/>
    <x v="4"/>
    <s v="Current"/>
    <n v="0"/>
    <x v="0"/>
    <n v="3494.3999999999996"/>
    <n v="0"/>
  </r>
  <r>
    <s v="LN-00548"/>
    <s v="BRW-0458"/>
    <d v="2025-04-06T00:00:00"/>
    <n v="54"/>
    <s v="WI"/>
    <s v="Bachelor"/>
    <x v="2"/>
    <n v="30"/>
    <n v="79231"/>
    <x v="2"/>
    <n v="625"/>
    <s v="Rent"/>
    <n v="0"/>
    <n v="2917"/>
    <x v="1"/>
    <x v="6"/>
    <x v="328"/>
    <n v="36"/>
    <n v="12.75"/>
    <n v="654.69000000000005"/>
    <n v="54.1"/>
    <x v="0"/>
    <s v="Current"/>
    <n v="0"/>
    <x v="0"/>
    <n v="7458.75"/>
    <n v="0"/>
  </r>
  <r>
    <s v="LN-00549"/>
    <s v="BRW-0459"/>
    <d v="2024-12-21T00:00:00"/>
    <n v="54"/>
    <s v="CT"/>
    <s v="Master"/>
    <x v="1"/>
    <n v="34"/>
    <n v="111175"/>
    <x v="2"/>
    <n v="850"/>
    <s v="Rent"/>
    <n v="3"/>
    <n v="3606"/>
    <x v="3"/>
    <x v="9"/>
    <x v="113"/>
    <n v="12"/>
    <n v="10.71"/>
    <n v="3794.6"/>
    <n v="79.900000000000006"/>
    <x v="2"/>
    <s v="Current"/>
    <n v="0"/>
    <x v="0"/>
    <n v="4605.3"/>
    <n v="0"/>
  </r>
  <r>
    <s v="LN-00550"/>
    <s v="BRW-0460"/>
    <d v="2025-06-14T00:00:00"/>
    <n v="49"/>
    <s v="KY"/>
    <s v="Bachelor"/>
    <x v="1"/>
    <n v="13"/>
    <n v="43371"/>
    <x v="2"/>
    <n v="801"/>
    <s v="Own"/>
    <n v="1"/>
    <n v="1569"/>
    <x v="3"/>
    <x v="3"/>
    <x v="280"/>
    <n v="12"/>
    <n v="9.33"/>
    <n v="989.93"/>
    <n v="70.8"/>
    <x v="2"/>
    <s v="Paid Off"/>
    <n v="0"/>
    <x v="0"/>
    <n v="1054.29"/>
    <n v="0"/>
  </r>
  <r>
    <s v="LN-00551"/>
    <s v="BRW-0461"/>
    <d v="2024-05-09T00:00:00"/>
    <n v="44"/>
    <s v="NC"/>
    <s v="Bachelor"/>
    <x v="0"/>
    <n v="3"/>
    <n v="89186"/>
    <x v="1"/>
    <n v="834"/>
    <s v="Mortgage"/>
    <n v="1"/>
    <n v="1235"/>
    <x v="3"/>
    <x v="7"/>
    <x v="43"/>
    <n v="12"/>
    <n v="9.74"/>
    <n v="517.99"/>
    <n v="23.6"/>
    <x v="4"/>
    <s v="Paid Off"/>
    <n v="0"/>
    <x v="0"/>
    <n v="574.66"/>
    <n v="0"/>
  </r>
  <r>
    <s v="LN-00552"/>
    <s v="BRW-0462"/>
    <d v="2025-02-13T00:00:00"/>
    <n v="27"/>
    <s v="KY"/>
    <s v="Associate"/>
    <x v="2"/>
    <n v="0"/>
    <n v="48279"/>
    <x v="3"/>
    <n v="626"/>
    <s v="Rent"/>
    <n v="0"/>
    <n v="1252"/>
    <x v="1"/>
    <x v="2"/>
    <x v="329"/>
    <n v="48"/>
    <n v="11.75"/>
    <n v="639.54999999999995"/>
    <n v="47"/>
    <x v="0"/>
    <s v="Current"/>
    <n v="0"/>
    <x v="0"/>
    <n v="11468"/>
    <n v="0"/>
  </r>
  <r>
    <s v="LN-00553"/>
    <s v="BRW-0463"/>
    <d v="2024-07-29T00:00:00"/>
    <n v="55"/>
    <s v="IL"/>
    <s v="High School"/>
    <x v="0"/>
    <n v="26"/>
    <n v="46609"/>
    <x v="2"/>
    <n v="691"/>
    <s v="Mortgage"/>
    <n v="1"/>
    <n v="1331"/>
    <x v="4"/>
    <x v="3"/>
    <x v="192"/>
    <n v="60"/>
    <n v="10.039999999999999"/>
    <n v="146.74"/>
    <n v="38"/>
    <x v="1"/>
    <s v="Paid Off"/>
    <n v="0"/>
    <x v="0"/>
    <n v="3463.7999999999993"/>
    <n v="0"/>
  </r>
  <r>
    <s v="LN-00554"/>
    <s v="BRW-0463"/>
    <d v="2025-01-27T00:00:00"/>
    <n v="55"/>
    <s v="IL"/>
    <s v="High School"/>
    <x v="0"/>
    <n v="26"/>
    <n v="46609"/>
    <x v="2"/>
    <n v="691"/>
    <s v="Mortgage"/>
    <n v="1"/>
    <n v="1331"/>
    <x v="4"/>
    <x v="1"/>
    <x v="289"/>
    <n v="36"/>
    <n v="11.6"/>
    <n v="472.24"/>
    <n v="46.4"/>
    <x v="0"/>
    <s v="Current"/>
    <n v="0"/>
    <x v="0"/>
    <n v="4976.3999999999996"/>
    <n v="0"/>
  </r>
  <r>
    <s v="LN-00555"/>
    <s v="BRW-0464"/>
    <d v="2025-02-23T00:00:00"/>
    <n v="38"/>
    <s v="AZ"/>
    <s v="Master"/>
    <x v="1"/>
    <n v="12"/>
    <n v="85972"/>
    <x v="2"/>
    <n v="681"/>
    <s v="Rent"/>
    <n v="2"/>
    <n v="2355"/>
    <x v="4"/>
    <x v="6"/>
    <x v="2"/>
    <n v="60"/>
    <n v="9.92"/>
    <n v="947.98"/>
    <n v="46.1"/>
    <x v="0"/>
    <s v="Late"/>
    <n v="0"/>
    <x v="0"/>
    <n v="22171.199999999997"/>
    <n v="0"/>
  </r>
  <r>
    <s v="LN-00556"/>
    <s v="BRW-0465"/>
    <d v="2024-07-09T00:00:00"/>
    <n v="33"/>
    <s v="SC"/>
    <s v="Bachelor"/>
    <x v="3"/>
    <n v="9"/>
    <n v="31235"/>
    <x v="0"/>
    <n v="682"/>
    <s v="Mortgage"/>
    <n v="1"/>
    <n v="309"/>
    <x v="4"/>
    <x v="4"/>
    <x v="330"/>
    <n v="36"/>
    <n v="10.78"/>
    <n v="150.12"/>
    <n v="17.600000000000001"/>
    <x v="3"/>
    <s v="Late"/>
    <n v="0"/>
    <x v="0"/>
    <n v="1487.6399999999999"/>
    <n v="0"/>
  </r>
  <r>
    <s v="LN-00557"/>
    <s v="BRW-0465"/>
    <d v="2024-01-12T00:00:00"/>
    <n v="33"/>
    <s v="SC"/>
    <s v="Bachelor"/>
    <x v="3"/>
    <n v="9"/>
    <n v="31235"/>
    <x v="0"/>
    <n v="682"/>
    <s v="Mortgage"/>
    <n v="1"/>
    <n v="309"/>
    <x v="4"/>
    <x v="4"/>
    <x v="304"/>
    <n v="12"/>
    <n v="10.23"/>
    <n v="528.14"/>
    <n v="32.200000000000003"/>
    <x v="4"/>
    <s v="Current"/>
    <n v="0"/>
    <x v="0"/>
    <n v="613.80000000000007"/>
    <n v="0"/>
  </r>
  <r>
    <s v="LN-00558"/>
    <s v="BRW-0466"/>
    <d v="2024-08-10T00:00:00"/>
    <n v="64"/>
    <s v="WA"/>
    <s v="High School"/>
    <x v="1"/>
    <n v="6"/>
    <n v="49965"/>
    <x v="0"/>
    <n v="612"/>
    <s v="Own"/>
    <n v="2"/>
    <n v="1875"/>
    <x v="1"/>
    <x v="7"/>
    <x v="266"/>
    <n v="60"/>
    <n v="10.86"/>
    <n v="433.45"/>
    <n v="55.4"/>
    <x v="0"/>
    <s v="Default"/>
    <n v="101"/>
    <x v="1"/>
    <n v="0"/>
    <n v="20000"/>
  </r>
  <r>
    <s v="LN-00559"/>
    <s v="BRW-0467"/>
    <d v="2024-11-23T00:00:00"/>
    <n v="61"/>
    <s v="OR"/>
    <s v="Bachelor"/>
    <x v="0"/>
    <n v="0"/>
    <n v="50855"/>
    <x v="3"/>
    <n v="850"/>
    <s v="Rent"/>
    <n v="0"/>
    <n v="2173"/>
    <x v="3"/>
    <x v="6"/>
    <x v="248"/>
    <n v="48"/>
    <n v="7.42"/>
    <n v="796.67"/>
    <n v="70.099999999999994"/>
    <x v="2"/>
    <s v="Default"/>
    <n v="42"/>
    <x v="1"/>
    <n v="0"/>
    <n v="33000"/>
  </r>
  <r>
    <s v="LN-00560"/>
    <s v="BRW-0468"/>
    <d v="2024-06-24T00:00:00"/>
    <n v="49"/>
    <s v="UT"/>
    <s v="High School"/>
    <x v="1"/>
    <n v="1"/>
    <n v="35453"/>
    <x v="3"/>
    <n v="836"/>
    <s v="Rent"/>
    <n v="4"/>
    <n v="1054"/>
    <x v="3"/>
    <x v="0"/>
    <x v="86"/>
    <n v="12"/>
    <n v="6.69"/>
    <n v="423.28"/>
    <n v="50"/>
    <x v="0"/>
    <s v="Current"/>
    <n v="0"/>
    <x v="0"/>
    <n v="327.81"/>
    <n v="0"/>
  </r>
  <r>
    <s v="LN-00561"/>
    <s v="BRW-0468"/>
    <d v="2025-04-17T00:00:00"/>
    <n v="49"/>
    <s v="UT"/>
    <s v="High School"/>
    <x v="1"/>
    <n v="1"/>
    <n v="35453"/>
    <x v="3"/>
    <n v="836"/>
    <s v="Rent"/>
    <n v="4"/>
    <n v="1054"/>
    <x v="3"/>
    <x v="8"/>
    <x v="73"/>
    <n v="60"/>
    <n v="11.01"/>
    <n v="334.91"/>
    <n v="47"/>
    <x v="0"/>
    <s v="Current"/>
    <n v="0"/>
    <x v="0"/>
    <n v="8477.7000000000007"/>
    <n v="0"/>
  </r>
  <r>
    <s v="LN-00562"/>
    <s v="BRW-0469"/>
    <d v="2025-03-01T00:00:00"/>
    <n v="55"/>
    <s v="OH"/>
    <s v="Associate"/>
    <x v="4"/>
    <n v="31"/>
    <n v="19232"/>
    <x v="2"/>
    <n v="609"/>
    <s v="Mortgage"/>
    <n v="3"/>
    <n v="825"/>
    <x v="1"/>
    <x v="2"/>
    <x v="175"/>
    <n v="12"/>
    <n v="12.2"/>
    <n v="444.71"/>
    <n v="79.2"/>
    <x v="2"/>
    <s v="Paid Off"/>
    <n v="0"/>
    <x v="0"/>
    <n v="610"/>
    <n v="0"/>
  </r>
  <r>
    <s v="LN-00563"/>
    <s v="BRW-0469"/>
    <d v="2025-02-06T00:00:00"/>
    <n v="55"/>
    <s v="OH"/>
    <s v="Associate"/>
    <x v="4"/>
    <n v="31"/>
    <n v="19232"/>
    <x v="2"/>
    <n v="609"/>
    <s v="Mortgage"/>
    <n v="3"/>
    <n v="825"/>
    <x v="1"/>
    <x v="1"/>
    <x v="124"/>
    <n v="48"/>
    <n v="12.91"/>
    <n v="168.73"/>
    <n v="62"/>
    <x v="2"/>
    <s v="Default"/>
    <n v="146"/>
    <x v="1"/>
    <n v="0"/>
    <n v="6300"/>
  </r>
  <r>
    <s v="LN-00564"/>
    <s v="BRW-0470"/>
    <d v="2024-02-18T00:00:00"/>
    <n v="55"/>
    <s v="MN"/>
    <s v="Associate"/>
    <x v="1"/>
    <n v="14"/>
    <n v="57097"/>
    <x v="2"/>
    <n v="794"/>
    <s v="Mortgage"/>
    <n v="0"/>
    <n v="807"/>
    <x v="3"/>
    <x v="6"/>
    <x v="331"/>
    <n v="12"/>
    <n v="6.91"/>
    <n v="4064.81"/>
    <n v="102.4"/>
    <x v="2"/>
    <s v="Paid Off"/>
    <n v="0"/>
    <x v="0"/>
    <n v="3247.7"/>
    <n v="0"/>
  </r>
  <r>
    <s v="LN-00565"/>
    <s v="BRW-0471"/>
    <d v="2024-01-06T00:00:00"/>
    <n v="22"/>
    <s v="WA"/>
    <s v="Doctorate"/>
    <x v="1"/>
    <n v="1"/>
    <n v="95335"/>
    <x v="3"/>
    <n v="744"/>
    <s v="Rent"/>
    <n v="2"/>
    <n v="2453"/>
    <x v="2"/>
    <x v="1"/>
    <x v="195"/>
    <n v="36"/>
    <n v="11.68"/>
    <n v="204.98"/>
    <n v="33.5"/>
    <x v="4"/>
    <s v="Late"/>
    <n v="15"/>
    <x v="0"/>
    <n v="2172.48"/>
    <n v="0"/>
  </r>
  <r>
    <s v="LN-00566"/>
    <s v="BRW-0471"/>
    <d v="2025-01-23T00:00:00"/>
    <n v="22"/>
    <s v="WA"/>
    <s v="Doctorate"/>
    <x v="1"/>
    <n v="1"/>
    <n v="95335"/>
    <x v="3"/>
    <n v="744"/>
    <s v="Rent"/>
    <n v="2"/>
    <n v="2453"/>
    <x v="2"/>
    <x v="8"/>
    <x v="6"/>
    <n v="12"/>
    <n v="8.92"/>
    <n v="3426.64"/>
    <n v="74"/>
    <x v="2"/>
    <s v="Default"/>
    <n v="73"/>
    <x v="1"/>
    <n v="0"/>
    <n v="39200"/>
  </r>
  <r>
    <s v="LN-00567"/>
    <s v="BRW-0472"/>
    <d v="2025-02-27T00:00:00"/>
    <n v="67"/>
    <s v="OR"/>
    <s v="High School"/>
    <x v="1"/>
    <n v="22"/>
    <n v="32414"/>
    <x v="2"/>
    <n v="811"/>
    <s v="Mortgage"/>
    <n v="0"/>
    <n v="954"/>
    <x v="3"/>
    <x v="9"/>
    <x v="68"/>
    <n v="24"/>
    <n v="10.25"/>
    <n v="240.55"/>
    <n v="44.2"/>
    <x v="1"/>
    <s v="Current"/>
    <n v="0"/>
    <x v="0"/>
    <n v="1066"/>
    <n v="0"/>
  </r>
  <r>
    <s v="LN-00568"/>
    <s v="BRW-0472"/>
    <d v="2025-05-09T00:00:00"/>
    <n v="67"/>
    <s v="OR"/>
    <s v="High School"/>
    <x v="1"/>
    <n v="22"/>
    <n v="32414"/>
    <x v="2"/>
    <n v="811"/>
    <s v="Mortgage"/>
    <n v="0"/>
    <n v="954"/>
    <x v="3"/>
    <x v="7"/>
    <x v="172"/>
    <n v="36"/>
    <n v="8.09"/>
    <n v="690.31"/>
    <n v="60.9"/>
    <x v="2"/>
    <s v="Current"/>
    <n v="0"/>
    <x v="0"/>
    <n v="5339.4"/>
    <n v="0"/>
  </r>
  <r>
    <s v="LN-00569"/>
    <s v="BRW-0473"/>
    <d v="2024-03-17T00:00:00"/>
    <n v="34"/>
    <s v="MO"/>
    <s v="Bachelor"/>
    <x v="1"/>
    <n v="6"/>
    <n v="40896"/>
    <x v="0"/>
    <n v="619"/>
    <s v="Mortgage"/>
    <n v="0"/>
    <n v="671"/>
    <x v="1"/>
    <x v="2"/>
    <x v="26"/>
    <n v="24"/>
    <n v="13.16"/>
    <n v="647.59"/>
    <n v="38.700000000000003"/>
    <x v="1"/>
    <s v="Current"/>
    <n v="0"/>
    <x v="0"/>
    <n v="3579.52"/>
    <n v="0"/>
  </r>
  <r>
    <s v="LN-00570"/>
    <s v="BRW-0474"/>
    <d v="2025-06-24T00:00:00"/>
    <n v="29"/>
    <s v="WA"/>
    <s v="Master"/>
    <x v="4"/>
    <n v="4"/>
    <n v="77862"/>
    <x v="1"/>
    <n v="829"/>
    <s v="Rent"/>
    <n v="2"/>
    <n v="2822"/>
    <x v="3"/>
    <x v="1"/>
    <x v="201"/>
    <n v="24"/>
    <n v="10.25"/>
    <n v="282.19"/>
    <n v="47.8"/>
    <x v="0"/>
    <s v="Paid Off"/>
    <n v="0"/>
    <x v="0"/>
    <n v="1250.5"/>
    <n v="0"/>
  </r>
  <r>
    <s v="LN-00571"/>
    <s v="BRW-0475"/>
    <d v="2025-01-07T00:00:00"/>
    <n v="43"/>
    <s v="NC"/>
    <s v="Doctorate"/>
    <x v="1"/>
    <n v="0"/>
    <n v="114645"/>
    <x v="3"/>
    <n v="845"/>
    <s v="Mortgage"/>
    <n v="0"/>
    <n v="3504"/>
    <x v="3"/>
    <x v="5"/>
    <x v="332"/>
    <n v="24"/>
    <n v="7.01"/>
    <n v="317.92"/>
    <n v="40"/>
    <x v="1"/>
    <s v="Late"/>
    <n v="0"/>
    <x v="0"/>
    <n v="995.42"/>
    <n v="0"/>
  </r>
  <r>
    <s v="LN-00572"/>
    <s v="BRW-0476"/>
    <d v="2024-04-14T00:00:00"/>
    <n v="36"/>
    <s v="SC"/>
    <s v="Bachelor"/>
    <x v="1"/>
    <n v="16"/>
    <n v="60743"/>
    <x v="2"/>
    <n v="715"/>
    <s v="Mortgage"/>
    <n v="3"/>
    <n v="881"/>
    <x v="2"/>
    <x v="1"/>
    <x v="106"/>
    <n v="24"/>
    <n v="11.51"/>
    <n v="482.5"/>
    <n v="26.9"/>
    <x v="4"/>
    <s v="Late"/>
    <n v="15"/>
    <x v="0"/>
    <n v="2371.06"/>
    <n v="0"/>
  </r>
  <r>
    <s v="LN-00573"/>
    <s v="BRW-0477"/>
    <d v="2024-09-28T00:00:00"/>
    <n v="27"/>
    <s v="VA"/>
    <s v="Bachelor"/>
    <x v="0"/>
    <n v="2"/>
    <n v="62419"/>
    <x v="1"/>
    <n v="818"/>
    <s v="Mortgage"/>
    <n v="0"/>
    <n v="1752"/>
    <x v="3"/>
    <x v="0"/>
    <x v="333"/>
    <n v="60"/>
    <n v="8.6300000000000008"/>
    <n v="59.68"/>
    <n v="34.799999999999997"/>
    <x v="4"/>
    <s v="Current"/>
    <n v="0"/>
    <x v="0"/>
    <n v="1251.3500000000001"/>
    <n v="0"/>
  </r>
  <r>
    <s v="LN-00574"/>
    <s v="BRW-0478"/>
    <d v="2025-01-13T00:00:00"/>
    <n v="33"/>
    <s v="AL"/>
    <s v="Master"/>
    <x v="0"/>
    <n v="11"/>
    <n v="132671"/>
    <x v="2"/>
    <n v="805"/>
    <s v="Own"/>
    <n v="0"/>
    <n v="2019"/>
    <x v="3"/>
    <x v="1"/>
    <x v="334"/>
    <n v="12"/>
    <n v="8.7899999999999991"/>
    <n v="2306.15"/>
    <n v="39.1"/>
    <x v="1"/>
    <s v="Paid Off"/>
    <n v="0"/>
    <x v="0"/>
    <n v="2320.56"/>
    <n v="0"/>
  </r>
  <r>
    <s v="LN-00575"/>
    <s v="BRW-0479"/>
    <d v="2025-05-20T00:00:00"/>
    <n v="36"/>
    <s v="NY"/>
    <s v="Associate"/>
    <x v="1"/>
    <n v="3"/>
    <n v="57979"/>
    <x v="1"/>
    <n v="609"/>
    <s v="Own"/>
    <n v="2"/>
    <n v="1844"/>
    <x v="1"/>
    <x v="3"/>
    <x v="156"/>
    <n v="36"/>
    <n v="12.5"/>
    <n v="234.18"/>
    <n v="43"/>
    <x v="1"/>
    <s v="Current"/>
    <n v="0"/>
    <x v="0"/>
    <n v="2625"/>
    <n v="0"/>
  </r>
  <r>
    <s v="LN-00576"/>
    <s v="BRW-0480"/>
    <d v="2024-09-01T00:00:00"/>
    <n v="61"/>
    <s v="TN"/>
    <s v="High School"/>
    <x v="2"/>
    <n v="23"/>
    <n v="56121"/>
    <x v="2"/>
    <n v="776"/>
    <s v="Mortgage"/>
    <n v="3"/>
    <n v="2293"/>
    <x v="3"/>
    <x v="6"/>
    <x v="309"/>
    <n v="12"/>
    <n v="9.94"/>
    <n v="316.39999999999998"/>
    <n v="55.8"/>
    <x v="0"/>
    <s v="Default"/>
    <n v="55"/>
    <x v="1"/>
    <n v="0"/>
    <n v="3600"/>
  </r>
  <r>
    <s v="LN-00577"/>
    <s v="BRW-0481"/>
    <d v="2024-10-01T00:00:00"/>
    <n v="58"/>
    <s v="LA"/>
    <s v="Master"/>
    <x v="1"/>
    <n v="17"/>
    <n v="139061"/>
    <x v="2"/>
    <n v="811"/>
    <s v="Mortgage"/>
    <n v="2"/>
    <n v="893"/>
    <x v="3"/>
    <x v="9"/>
    <x v="157"/>
    <n v="48"/>
    <n v="6.99"/>
    <n v="512.35"/>
    <n v="12.1"/>
    <x v="3"/>
    <s v="Current"/>
    <n v="0"/>
    <x v="0"/>
    <n v="5983.4400000000005"/>
    <n v="0"/>
  </r>
  <r>
    <s v="LN-00578"/>
    <s v="BRW-0482"/>
    <d v="2025-05-03T00:00:00"/>
    <n v="49"/>
    <s v="PA"/>
    <s v="Bachelor"/>
    <x v="1"/>
    <n v="27"/>
    <n v="72657"/>
    <x v="2"/>
    <n v="736"/>
    <s v="Rent"/>
    <n v="1"/>
    <n v="667"/>
    <x v="2"/>
    <x v="9"/>
    <x v="231"/>
    <n v="24"/>
    <n v="10.25"/>
    <n v="97.15"/>
    <n v="12.6"/>
    <x v="3"/>
    <s v="Late"/>
    <n v="15"/>
    <x v="0"/>
    <n v="430.5"/>
    <n v="0"/>
  </r>
  <r>
    <s v="LN-00579"/>
    <s v="BRW-0483"/>
    <d v="2024-01-14T00:00:00"/>
    <n v="55"/>
    <s v="NJ"/>
    <s v="Bachelor"/>
    <x v="0"/>
    <n v="24"/>
    <n v="41354"/>
    <x v="2"/>
    <n v="637"/>
    <s v="Mortgage"/>
    <n v="1"/>
    <n v="1657"/>
    <x v="1"/>
    <x v="6"/>
    <x v="79"/>
    <n v="48"/>
    <n v="10.09"/>
    <n v="208.33"/>
    <n v="54.1"/>
    <x v="0"/>
    <s v="Current"/>
    <n v="0"/>
    <x v="0"/>
    <n v="3309.52"/>
    <n v="0"/>
  </r>
  <r>
    <s v="LN-00580"/>
    <s v="BRW-0484"/>
    <d v="2025-04-30T00:00:00"/>
    <n v="33"/>
    <s v="TN"/>
    <s v="Bachelor"/>
    <x v="1"/>
    <n v="5"/>
    <n v="70671"/>
    <x v="1"/>
    <n v="848"/>
    <s v="Mortgage"/>
    <n v="1"/>
    <n v="1528"/>
    <x v="3"/>
    <x v="6"/>
    <x v="174"/>
    <n v="12"/>
    <n v="8.84"/>
    <n v="2411.61"/>
    <n v="66.900000000000006"/>
    <x v="2"/>
    <s v="Current"/>
    <n v="0"/>
    <x v="0"/>
    <n v="2439.8399999999997"/>
    <n v="0"/>
  </r>
  <r>
    <s v="LN-00581"/>
    <s v="BRW-0484"/>
    <d v="2025-06-21T00:00:00"/>
    <n v="33"/>
    <s v="TN"/>
    <s v="Bachelor"/>
    <x v="1"/>
    <n v="5"/>
    <n v="70671"/>
    <x v="1"/>
    <n v="848"/>
    <s v="Mortgage"/>
    <n v="1"/>
    <n v="1528"/>
    <x v="3"/>
    <x v="6"/>
    <x v="225"/>
    <n v="36"/>
    <n v="10.039999999999999"/>
    <n v="77.489999999999995"/>
    <n v="27.3"/>
    <x v="4"/>
    <s v="Paid Off"/>
    <n v="0"/>
    <x v="0"/>
    <n v="722.87999999999988"/>
    <n v="0"/>
  </r>
  <r>
    <s v="LN-00582"/>
    <s v="BRW-0485"/>
    <d v="2025-05-13T00:00:00"/>
    <n v="45"/>
    <s v="MN"/>
    <s v="Bachelor"/>
    <x v="1"/>
    <n v="4"/>
    <n v="69356"/>
    <x v="1"/>
    <n v="827"/>
    <s v="Rent"/>
    <n v="0"/>
    <n v="577"/>
    <x v="3"/>
    <x v="4"/>
    <x v="335"/>
    <n v="60"/>
    <n v="7.5"/>
    <n v="747.42"/>
    <n v="22.9"/>
    <x v="4"/>
    <s v="Paid Off"/>
    <n v="0"/>
    <x v="0"/>
    <n v="13987.5"/>
    <n v="0"/>
  </r>
  <r>
    <s v="LN-00583"/>
    <s v="BRW-0486"/>
    <d v="2024-10-03T00:00:00"/>
    <n v="39"/>
    <s v="AL"/>
    <s v="Master"/>
    <x v="3"/>
    <n v="4"/>
    <n v="70439"/>
    <x v="1"/>
    <n v="635"/>
    <s v="Rent"/>
    <n v="0"/>
    <n v="2658"/>
    <x v="1"/>
    <x v="4"/>
    <x v="6"/>
    <n v="60"/>
    <n v="11.84"/>
    <n v="868.82"/>
    <n v="60.1"/>
    <x v="2"/>
    <s v="Current"/>
    <n v="0"/>
    <x v="0"/>
    <n v="23206.400000000001"/>
    <n v="0"/>
  </r>
  <r>
    <s v="LN-00584"/>
    <s v="BRW-0487"/>
    <d v="2025-03-17T00:00:00"/>
    <n v="33"/>
    <s v="NJ"/>
    <s v="Bachelor"/>
    <x v="1"/>
    <n v="8"/>
    <n v="97590"/>
    <x v="0"/>
    <n v="850"/>
    <s v="Mortgage"/>
    <n v="2"/>
    <n v="1626"/>
    <x v="3"/>
    <x v="7"/>
    <x v="241"/>
    <n v="48"/>
    <n v="5.99"/>
    <n v="206.63"/>
    <n v="22.5"/>
    <x v="4"/>
    <s v="Current"/>
    <n v="0"/>
    <x v="0"/>
    <n v="2108.48"/>
    <n v="0"/>
  </r>
  <r>
    <s v="LN-00585"/>
    <s v="BRW-0487"/>
    <d v="2025-04-05T00:00:00"/>
    <n v="33"/>
    <s v="NJ"/>
    <s v="Bachelor"/>
    <x v="1"/>
    <n v="8"/>
    <n v="97590"/>
    <x v="0"/>
    <n v="850"/>
    <s v="Mortgage"/>
    <n v="2"/>
    <n v="1626"/>
    <x v="3"/>
    <x v="1"/>
    <x v="336"/>
    <n v="60"/>
    <n v="10.33"/>
    <n v="1034.0899999999999"/>
    <n v="32.700000000000003"/>
    <x v="4"/>
    <s v="Late"/>
    <n v="15"/>
    <x v="0"/>
    <n v="24946.95"/>
    <n v="0"/>
  </r>
  <r>
    <s v="LN-00586"/>
    <s v="BRW-0488"/>
    <d v="2024-10-09T00:00:00"/>
    <n v="57"/>
    <s v="NC"/>
    <s v="Master"/>
    <x v="1"/>
    <n v="3"/>
    <n v="63092"/>
    <x v="1"/>
    <n v="618"/>
    <s v="Own"/>
    <n v="1"/>
    <n v="1918"/>
    <x v="1"/>
    <x v="4"/>
    <x v="282"/>
    <n v="48"/>
    <n v="14.43"/>
    <n v="572.89"/>
    <n v="47.4"/>
    <x v="0"/>
    <s v="Current"/>
    <n v="0"/>
    <x v="0"/>
    <n v="12005.759999999998"/>
    <n v="0"/>
  </r>
  <r>
    <s v="LN-00587"/>
    <s v="BRW-0488"/>
    <d v="2024-12-21T00:00:00"/>
    <n v="57"/>
    <s v="NC"/>
    <s v="Master"/>
    <x v="1"/>
    <n v="3"/>
    <n v="63092"/>
    <x v="1"/>
    <n v="618"/>
    <s v="Own"/>
    <n v="1"/>
    <n v="1918"/>
    <x v="1"/>
    <x v="4"/>
    <x v="56"/>
    <n v="48"/>
    <n v="12.53"/>
    <n v="210.1"/>
    <n v="40.5"/>
    <x v="1"/>
    <s v="Late"/>
    <n v="30"/>
    <x v="0"/>
    <n v="3959.48"/>
    <n v="0"/>
  </r>
  <r>
    <s v="LN-00588"/>
    <s v="BRW-0489"/>
    <d v="2024-06-15T00:00:00"/>
    <n v="50"/>
    <s v="VA"/>
    <s v="Master"/>
    <x v="1"/>
    <n v="29"/>
    <n v="85514"/>
    <x v="2"/>
    <n v="825"/>
    <s v="Rent"/>
    <n v="0"/>
    <n v="788"/>
    <x v="3"/>
    <x v="0"/>
    <x v="32"/>
    <n v="36"/>
    <n v="9.3699999999999992"/>
    <n v="866.45"/>
    <n v="23.2"/>
    <x v="4"/>
    <s v="Paid Off"/>
    <n v="0"/>
    <x v="0"/>
    <n v="7617.8099999999995"/>
    <n v="0"/>
  </r>
  <r>
    <s v="LN-00589"/>
    <s v="BRW-0490"/>
    <d v="2024-11-09T00:00:00"/>
    <n v="65"/>
    <s v="MI"/>
    <s v="Doctorate"/>
    <x v="1"/>
    <n v="11"/>
    <n v="126680"/>
    <x v="2"/>
    <n v="825"/>
    <s v="Rent"/>
    <n v="1"/>
    <n v="4081"/>
    <x v="3"/>
    <x v="8"/>
    <x v="51"/>
    <n v="12"/>
    <n v="6.52"/>
    <n v="3590.31"/>
    <n v="72.7"/>
    <x v="2"/>
    <s v="Default"/>
    <n v="120"/>
    <x v="1"/>
    <n v="0"/>
    <n v="41600"/>
  </r>
  <r>
    <s v="LN-00590"/>
    <s v="BRW-0491"/>
    <d v="2025-05-29T00:00:00"/>
    <n v="53"/>
    <s v="IL"/>
    <s v="Master"/>
    <x v="1"/>
    <n v="18"/>
    <n v="61327"/>
    <x v="2"/>
    <n v="849"/>
    <s v="Mortgage"/>
    <n v="3"/>
    <n v="1892"/>
    <x v="3"/>
    <x v="8"/>
    <x v="337"/>
    <n v="36"/>
    <n v="9.7799999999999994"/>
    <n v="154.38999999999999"/>
    <n v="40"/>
    <x v="1"/>
    <s v="Current"/>
    <n v="0"/>
    <x v="0"/>
    <n v="1408.32"/>
    <n v="0"/>
  </r>
  <r>
    <s v="LN-00591"/>
    <s v="BRW-0492"/>
    <d v="2024-03-23T00:00:00"/>
    <n v="43"/>
    <s v="GA"/>
    <s v="Bachelor"/>
    <x v="3"/>
    <n v="2"/>
    <n v="36533"/>
    <x v="1"/>
    <n v="561"/>
    <s v="Own"/>
    <n v="1"/>
    <n v="1146"/>
    <x v="0"/>
    <x v="3"/>
    <x v="213"/>
    <n v="48"/>
    <n v="13.58"/>
    <n v="357.93"/>
    <n v="49.4"/>
    <x v="0"/>
    <s v="Default"/>
    <n v="38"/>
    <x v="1"/>
    <n v="0"/>
    <n v="13200"/>
  </r>
  <r>
    <s v="LN-00592"/>
    <s v="BRW-0493"/>
    <d v="2024-04-10T00:00:00"/>
    <n v="67"/>
    <s v="IN"/>
    <s v="Associate"/>
    <x v="3"/>
    <n v="23"/>
    <n v="23062"/>
    <x v="2"/>
    <n v="752"/>
    <s v="Rent"/>
    <n v="4"/>
    <n v="493"/>
    <x v="3"/>
    <x v="4"/>
    <x v="173"/>
    <n v="48"/>
    <n v="9.58"/>
    <n v="251.61"/>
    <n v="38.700000000000003"/>
    <x v="1"/>
    <s v="Late"/>
    <n v="15"/>
    <x v="0"/>
    <n v="3832"/>
    <n v="0"/>
  </r>
  <r>
    <s v="LN-00593"/>
    <s v="BRW-0494"/>
    <d v="2024-07-23T00:00:00"/>
    <n v="33"/>
    <s v="NY"/>
    <s v="Master"/>
    <x v="1"/>
    <n v="11"/>
    <n v="74731"/>
    <x v="2"/>
    <n v="663"/>
    <s v="Rent"/>
    <n v="0"/>
    <n v="1547"/>
    <x v="4"/>
    <x v="1"/>
    <x v="18"/>
    <n v="60"/>
    <n v="9.65"/>
    <n v="368.82"/>
    <n v="30.8"/>
    <x v="4"/>
    <s v="Current"/>
    <n v="0"/>
    <x v="0"/>
    <n v="8443.75"/>
    <n v="0"/>
  </r>
  <r>
    <s v="LN-00594"/>
    <s v="BRW-0495"/>
    <d v="2025-03-23T00:00:00"/>
    <n v="28"/>
    <s v="NY"/>
    <s v="High School"/>
    <x v="2"/>
    <n v="6"/>
    <n v="41704"/>
    <x v="0"/>
    <n v="543"/>
    <s v="Mortgage"/>
    <n v="0"/>
    <n v="1247"/>
    <x v="0"/>
    <x v="3"/>
    <x v="334"/>
    <n v="60"/>
    <n v="11.87"/>
    <n v="585.52"/>
    <n v="52.7"/>
    <x v="0"/>
    <s v="Default"/>
    <n v="164"/>
    <x v="1"/>
    <n v="0"/>
    <n v="26400"/>
  </r>
  <r>
    <s v="LN-00595"/>
    <s v="BRW-0496"/>
    <d v="2025-03-13T00:00:00"/>
    <n v="27"/>
    <s v="IL"/>
    <s v="Bachelor"/>
    <x v="2"/>
    <n v="4"/>
    <n v="60337"/>
    <x v="1"/>
    <n v="661"/>
    <s v="Mortgage"/>
    <n v="0"/>
    <n v="2359"/>
    <x v="4"/>
    <x v="4"/>
    <x v="338"/>
    <n v="36"/>
    <n v="11.33"/>
    <n v="1148.04"/>
    <n v="69.7"/>
    <x v="2"/>
    <s v="Late"/>
    <n v="30"/>
    <x v="0"/>
    <n v="11862.51"/>
    <n v="0"/>
  </r>
  <r>
    <s v="LN-00596"/>
    <s v="BRW-0497"/>
    <d v="2024-11-05T00:00:00"/>
    <n v="23"/>
    <s v="MO"/>
    <s v="High School"/>
    <x v="1"/>
    <n v="3"/>
    <n v="54617"/>
    <x v="1"/>
    <n v="773"/>
    <s v="Rent"/>
    <n v="3"/>
    <n v="1475"/>
    <x v="3"/>
    <x v="8"/>
    <x v="238"/>
    <n v="24"/>
    <n v="10.19"/>
    <n v="1026.3699999999999"/>
    <n v="55"/>
    <x v="0"/>
    <s v="Current"/>
    <n v="0"/>
    <x v="0"/>
    <n v="4524.3599999999997"/>
    <n v="0"/>
  </r>
  <r>
    <s v="LN-00597"/>
    <s v="BRW-0497"/>
    <d v="2025-02-06T00:00:00"/>
    <n v="23"/>
    <s v="MO"/>
    <s v="High School"/>
    <x v="1"/>
    <n v="3"/>
    <n v="54617"/>
    <x v="1"/>
    <n v="773"/>
    <s v="Rent"/>
    <n v="3"/>
    <n v="1475"/>
    <x v="3"/>
    <x v="9"/>
    <x v="339"/>
    <n v="36"/>
    <n v="7.38"/>
    <n v="903.59"/>
    <n v="52.3"/>
    <x v="0"/>
    <s v="Default"/>
    <n v="31"/>
    <x v="1"/>
    <n v="0"/>
    <n v="29100"/>
  </r>
  <r>
    <s v="LN-00598"/>
    <s v="BRW-0498"/>
    <d v="2024-04-19T00:00:00"/>
    <n v="30"/>
    <s v="CO"/>
    <s v="Doctorate"/>
    <x v="0"/>
    <n v="7"/>
    <n v="85000"/>
    <x v="0"/>
    <n v="845"/>
    <s v="Mortgage"/>
    <n v="3"/>
    <n v="1894"/>
    <x v="3"/>
    <x v="2"/>
    <x v="330"/>
    <n v="12"/>
    <n v="7.27"/>
    <n v="398.6"/>
    <n v="32.4"/>
    <x v="4"/>
    <s v="Current"/>
    <n v="0"/>
    <x v="0"/>
    <n v="334.42"/>
    <n v="0"/>
  </r>
  <r>
    <s v="LN-00599"/>
    <s v="BRW-0499"/>
    <d v="2024-02-24T00:00:00"/>
    <n v="62"/>
    <s v="MA"/>
    <s v="Bachelor"/>
    <x v="1"/>
    <n v="14"/>
    <n v="62749"/>
    <x v="2"/>
    <n v="811"/>
    <s v="Rent"/>
    <n v="1"/>
    <n v="1339"/>
    <x v="3"/>
    <x v="4"/>
    <x v="340"/>
    <n v="60"/>
    <n v="9.86"/>
    <n v="165.19"/>
    <n v="28.8"/>
    <x v="4"/>
    <s v="Current"/>
    <n v="0"/>
    <x v="0"/>
    <n v="3845.3999999999996"/>
    <n v="0"/>
  </r>
  <r>
    <s v="LN-00600"/>
    <s v="BRW-0500"/>
    <d v="2024-11-14T00:00:00"/>
    <n v="31"/>
    <s v="MO"/>
    <s v="Associate"/>
    <x v="1"/>
    <n v="5"/>
    <n v="67070"/>
    <x v="1"/>
    <n v="604"/>
    <s v="Mortgage"/>
    <n v="0"/>
    <n v="2856"/>
    <x v="1"/>
    <x v="5"/>
    <x v="334"/>
    <n v="24"/>
    <n v="11.44"/>
    <n v="1235.8499999999999"/>
    <n v="73.2"/>
    <x v="2"/>
    <s v="Late"/>
    <n v="15"/>
    <x v="0"/>
    <n v="6040.32"/>
    <n v="0"/>
  </r>
  <r>
    <s v="LN-00601"/>
    <s v="BRW-0500"/>
    <d v="2024-05-03T00:00:00"/>
    <n v="31"/>
    <s v="MO"/>
    <s v="Associate"/>
    <x v="1"/>
    <n v="5"/>
    <n v="67070"/>
    <x v="1"/>
    <n v="604"/>
    <s v="Mortgage"/>
    <n v="0"/>
    <n v="2856"/>
    <x v="1"/>
    <x v="9"/>
    <x v="317"/>
    <n v="12"/>
    <n v="10.7"/>
    <n v="661.81"/>
    <n v="62.9"/>
    <x v="2"/>
    <s v="Current"/>
    <n v="0"/>
    <x v="0"/>
    <n v="802.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B753C-7FFF-4E26-A718-3A2B7AADD4B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Credit Score">
  <location ref="A3:B9" firstHeaderRow="1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oan_applications.defaulted" fld="24" subtotal="average" baseField="14" baseItem="2" numFmtId="1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C9305-F32F-4A8C-A446-4B9E4127AACC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6" rowHeaderCaption="DTI Ratio">
  <location ref="A3:B9" firstHeaderRow="1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oan_applications.defaulted" fld="24" subtotal="average" baseField="21" baseItem="0" numFmtId="1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4B00A-72E5-4508-A061-23092F08C5BB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DTI bracket">
  <location ref="A3:D9" firstHeaderRow="0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4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oan_applications.defaulted" fld="24" subtotal="average" baseField="21" baseItem="0" numFmtId="10"/>
    <dataField name="Sum of Net loss" fld="26" baseField="0" baseItem="0" numFmtId="164"/>
    <dataField name="Sum of Revenue" fld="2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63E84-824A-4DC8-9AF3-8DD074537BDE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DTI bracket" colHeaderCaption="Credit score">
  <location ref="A29:S37" firstHeaderRow="1" firstDataRow="3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4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loan_applications.defaulted" fld="24" subtotal="average" baseField="21" baseItem="0" numFmtId="10"/>
    <dataField name="Sum of Net loss" fld="26" baseField="0" baseItem="0" numFmtId="164"/>
    <dataField name="Sum of Revenue" fld="2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1BDE2-09FD-4DD2-B5CF-6B5DBBDFB525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 rowHeaderCaption="Loan Purpose">
  <location ref="A3:B14" firstHeaderRow="1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7"/>
        <item x="8"/>
        <item x="4"/>
        <item x="6"/>
        <item x="1"/>
        <item x="5"/>
        <item x="2"/>
        <item x="0"/>
        <item x="9"/>
        <item t="default"/>
      </items>
    </pivotField>
    <pivotField numFmtId="164" showAll="0">
      <items count="342">
        <item x="16"/>
        <item x="231"/>
        <item x="112"/>
        <item x="314"/>
        <item x="225"/>
        <item x="163"/>
        <item x="142"/>
        <item x="11"/>
        <item x="176"/>
        <item x="333"/>
        <item x="270"/>
        <item x="309"/>
        <item x="299"/>
        <item x="220"/>
        <item x="50"/>
        <item x="52"/>
        <item x="123"/>
        <item x="38"/>
        <item x="121"/>
        <item x="244"/>
        <item x="330"/>
        <item x="71"/>
        <item x="337"/>
        <item x="86"/>
        <item x="175"/>
        <item x="100"/>
        <item x="68"/>
        <item x="33"/>
        <item x="34"/>
        <item x="1"/>
        <item x="136"/>
        <item x="72"/>
        <item x="43"/>
        <item x="304"/>
        <item x="201"/>
        <item x="195"/>
        <item x="124"/>
        <item x="119"/>
        <item x="310"/>
        <item x="40"/>
        <item x="192"/>
        <item x="156"/>
        <item x="332"/>
        <item x="22"/>
        <item x="25"/>
        <item x="317"/>
        <item x="181"/>
        <item x="151"/>
        <item x="340"/>
        <item x="56"/>
        <item x="109"/>
        <item x="203"/>
        <item x="79"/>
        <item x="260"/>
        <item x="129"/>
        <item x="161"/>
        <item x="316"/>
        <item x="241"/>
        <item x="46"/>
        <item x="99"/>
        <item x="3"/>
        <item x="159"/>
        <item x="92"/>
        <item x="57"/>
        <item x="278"/>
        <item x="223"/>
        <item x="173"/>
        <item x="186"/>
        <item x="117"/>
        <item x="106"/>
        <item x="167"/>
        <item x="39"/>
        <item x="67"/>
        <item x="90"/>
        <item x="94"/>
        <item x="47"/>
        <item x="269"/>
        <item x="4"/>
        <item x="280"/>
        <item x="166"/>
        <item x="153"/>
        <item x="319"/>
        <item x="128"/>
        <item x="61"/>
        <item x="221"/>
        <item x="116"/>
        <item x="257"/>
        <item x="30"/>
        <item x="93"/>
        <item x="126"/>
        <item x="42"/>
        <item x="49"/>
        <item x="264"/>
        <item x="199"/>
        <item x="213"/>
        <item x="10"/>
        <item x="102"/>
        <item x="140"/>
        <item x="26"/>
        <item x="23"/>
        <item x="182"/>
        <item x="170"/>
        <item x="59"/>
        <item x="215"/>
        <item x="289"/>
        <item x="53"/>
        <item x="256"/>
        <item x="165"/>
        <item x="132"/>
        <item x="44"/>
        <item x="179"/>
        <item x="73"/>
        <item x="83"/>
        <item x="55"/>
        <item x="12"/>
        <item x="0"/>
        <item x="37"/>
        <item x="75"/>
        <item x="31"/>
        <item x="216"/>
        <item x="324"/>
        <item x="218"/>
        <item x="275"/>
        <item x="208"/>
        <item x="88"/>
        <item x="122"/>
        <item x="18"/>
        <item x="296"/>
        <item x="145"/>
        <item x="302"/>
        <item x="97"/>
        <item x="281"/>
        <item x="294"/>
        <item x="85"/>
        <item x="114"/>
        <item x="194"/>
        <item x="101"/>
        <item x="253"/>
        <item x="311"/>
        <item x="254"/>
        <item x="48"/>
        <item x="144"/>
        <item x="328"/>
        <item x="327"/>
        <item x="246"/>
        <item x="78"/>
        <item x="141"/>
        <item x="266"/>
        <item x="250"/>
        <item x="188"/>
        <item x="139"/>
        <item x="65"/>
        <item x="19"/>
        <item x="200"/>
        <item x="282"/>
        <item x="263"/>
        <item x="308"/>
        <item x="138"/>
        <item x="189"/>
        <item x="157"/>
        <item x="91"/>
        <item x="205"/>
        <item x="143"/>
        <item x="172"/>
        <item x="277"/>
        <item x="238"/>
        <item x="204"/>
        <item x="118"/>
        <item x="45"/>
        <item x="171"/>
        <item x="214"/>
        <item x="20"/>
        <item x="21"/>
        <item x="227"/>
        <item x="15"/>
        <item x="193"/>
        <item x="259"/>
        <item x="291"/>
        <item x="210"/>
        <item x="54"/>
        <item x="329"/>
        <item x="152"/>
        <item x="169"/>
        <item x="146"/>
        <item x="267"/>
        <item x="134"/>
        <item x="295"/>
        <item x="125"/>
        <item x="236"/>
        <item x="187"/>
        <item x="249"/>
        <item x="77"/>
        <item x="292"/>
        <item x="251"/>
        <item x="60"/>
        <item x="307"/>
        <item x="334"/>
        <item x="262"/>
        <item x="96"/>
        <item x="206"/>
        <item x="287"/>
        <item x="105"/>
        <item x="32"/>
        <item x="82"/>
        <item x="174"/>
        <item x="196"/>
        <item x="242"/>
        <item x="158"/>
        <item x="9"/>
        <item x="313"/>
        <item x="5"/>
        <item x="14"/>
        <item x="41"/>
        <item x="63"/>
        <item x="339"/>
        <item x="235"/>
        <item x="69"/>
        <item x="95"/>
        <item x="183"/>
        <item x="131"/>
        <item x="224"/>
        <item x="286"/>
        <item x="240"/>
        <item x="198"/>
        <item x="168"/>
        <item x="288"/>
        <item x="219"/>
        <item x="127"/>
        <item x="247"/>
        <item x="89"/>
        <item x="298"/>
        <item x="293"/>
        <item x="81"/>
        <item x="209"/>
        <item x="184"/>
        <item x="279"/>
        <item x="24"/>
        <item x="228"/>
        <item x="207"/>
        <item x="135"/>
        <item x="248"/>
        <item x="191"/>
        <item x="285"/>
        <item x="226"/>
        <item x="325"/>
        <item x="268"/>
        <item x="272"/>
        <item x="154"/>
        <item x="27"/>
        <item x="17"/>
        <item x="150"/>
        <item x="233"/>
        <item x="103"/>
        <item x="338"/>
        <item x="229"/>
        <item x="306"/>
        <item x="108"/>
        <item x="312"/>
        <item x="265"/>
        <item x="149"/>
        <item x="177"/>
        <item x="84"/>
        <item x="222"/>
        <item x="315"/>
        <item x="245"/>
        <item x="58"/>
        <item x="7"/>
        <item x="276"/>
        <item x="162"/>
        <item x="98"/>
        <item x="147"/>
        <item x="335"/>
        <item x="212"/>
        <item x="62"/>
        <item x="130"/>
        <item x="261"/>
        <item x="13"/>
        <item x="64"/>
        <item x="115"/>
        <item x="303"/>
        <item x="148"/>
        <item x="8"/>
        <item x="6"/>
        <item x="110"/>
        <item x="197"/>
        <item x="120"/>
        <item x="252"/>
        <item x="271"/>
        <item x="283"/>
        <item x="234"/>
        <item x="326"/>
        <item x="70"/>
        <item x="155"/>
        <item x="111"/>
        <item x="190"/>
        <item x="217"/>
        <item x="51"/>
        <item x="107"/>
        <item x="258"/>
        <item x="232"/>
        <item x="211"/>
        <item x="320"/>
        <item x="66"/>
        <item x="300"/>
        <item x="160"/>
        <item x="113"/>
        <item x="76"/>
        <item x="202"/>
        <item x="239"/>
        <item x="180"/>
        <item x="273"/>
        <item x="2"/>
        <item x="80"/>
        <item x="322"/>
        <item x="305"/>
        <item x="28"/>
        <item x="164"/>
        <item x="87"/>
        <item x="133"/>
        <item x="29"/>
        <item x="321"/>
        <item x="35"/>
        <item x="36"/>
        <item x="301"/>
        <item x="297"/>
        <item x="178"/>
        <item x="331"/>
        <item x="318"/>
        <item x="274"/>
        <item x="323"/>
        <item x="74"/>
        <item x="243"/>
        <item x="237"/>
        <item x="104"/>
        <item x="336"/>
        <item x="137"/>
        <item x="230"/>
        <item x="284"/>
        <item x="255"/>
        <item x="185"/>
        <item x="2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loan_applications.defaulted" fld="24" subtotal="average" baseField="15" baseItem="5" numFmtId="10"/>
  </dataField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4183B-D9DB-44AB-BEFE-603F880985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fault">
  <location ref="A22:C25" firstHeaderRow="0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applications.defaulted" fld="24" subtotal="count" baseField="24" baseItem="0"/>
    <dataField name="Average of loan_applications.loan_amount" fld="16" subtotal="average" baseField="2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965EE-97CC-4CAA-B5E6-6557959826E0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 rowHeaderCaption="Employment Status">
  <location ref="A3:F10" firstHeaderRow="1" firstDataRow="2" firstDataCol="1"/>
  <pivotFields count="27">
    <pivotField showAll="0"/>
    <pivotField showAll="0"/>
    <pivotField numFmtId="14"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axis="axisCol" showAll="0" sortType="ascending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loan_applications.defaulted" fld="24" subtotal="average" baseField="6" baseItem="0" numFmtId="10"/>
  </dataFields>
  <chartFormats count="52">
    <chartFormat chart="4" format="32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4" format="33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4" format="34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4" format="35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0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0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0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0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1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1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1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1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2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2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2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3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3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3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3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3"/>
          </reference>
        </references>
      </pivotArea>
    </chartFormat>
    <chartFormat chart="10" format="8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8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0"/>
          </reference>
        </references>
      </pivotArea>
    </chartFormat>
    <chartFormat chart="10" format="8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</references>
      </pivotArea>
    </chartFormat>
    <chartFormat chart="10" format="8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0"/>
          </reference>
        </references>
      </pivotArea>
    </chartFormat>
    <chartFormat chart="10" format="8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0"/>
          </reference>
        </references>
      </pivotArea>
    </chartFormat>
    <chartFormat chart="10" format="8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0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9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1"/>
          </reference>
        </references>
      </pivotArea>
    </chartFormat>
    <chartFormat chart="10" format="9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</references>
      </pivotArea>
    </chartFormat>
    <chartFormat chart="10" format="9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1"/>
          </reference>
        </references>
      </pivotArea>
    </chartFormat>
    <chartFormat chart="10" format="9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1"/>
          </reference>
        </references>
      </pivotArea>
    </chartFormat>
    <chartFormat chart="10" format="95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1"/>
          </reference>
        </references>
      </pivotArea>
    </chartFormat>
    <chartFormat chart="10" format="9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9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</references>
      </pivotArea>
    </chartFormat>
    <chartFormat chart="10" format="9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</references>
      </pivotArea>
    </chartFormat>
    <chartFormat chart="10" format="9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2"/>
          </reference>
        </references>
      </pivotArea>
    </chartFormat>
    <chartFormat chart="10" format="10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2"/>
          </reference>
        </references>
      </pivotArea>
    </chartFormat>
    <chartFormat chart="10" format="10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2"/>
          </reference>
        </references>
      </pivotArea>
    </chartFormat>
    <chartFormat chart="10" format="10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10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3"/>
          </reference>
        </references>
      </pivotArea>
    </chartFormat>
    <chartFormat chart="10" format="10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3"/>
          </reference>
        </references>
      </pivotArea>
    </chartFormat>
    <chartFormat chart="10" format="10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3"/>
          </reference>
        </references>
      </pivotArea>
    </chartFormat>
    <chartFormat chart="10" format="10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3"/>
          </reference>
        </references>
      </pivotArea>
    </chartFormat>
    <chartFormat chart="10" format="107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3DA8F-343A-4C3E-92BC-1DB5BEA1B5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4" showAll="0"/>
    <pivotField dataField="1" numFmtId="164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loss" fld="26" baseField="0" baseItem="0" numFmtId="164"/>
    <dataField name="Sum of Revenue" fld="25" baseField="0" baseItem="0" numFmtId="164"/>
    <dataField name="Average of loan_applications.defaulted" fld="24" subtotal="average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BCC2D5-04A2-4390-BB2B-19157F54B4E2}" autoFormatId="16" applyNumberFormats="0" applyBorderFormats="0" applyFontFormats="0" applyPatternFormats="0" applyAlignmentFormats="0" applyWidthHeightFormats="0">
  <queryTableRefresh nextId="34" unboundColumnsRight="2">
    <queryTableFields count="27">
      <queryTableField id="12" name="loan_applications.loan_id" tableColumnId="12"/>
      <queryTableField id="13" name="loan_applications.borrower_id" tableColumnId="13"/>
      <queryTableField id="1" name="loan_applications.application_date" tableColumnId="1"/>
      <queryTableField id="2" name="age" tableColumnId="2"/>
      <queryTableField id="3" name="state" tableColumnId="3"/>
      <queryTableField id="4" name="education_level" tableColumnId="4"/>
      <queryTableField id="5" name="employment_status" tableColumnId="5"/>
      <queryTableField id="6" name="years_employed" tableColumnId="6"/>
      <queryTableField id="7" name="annual_income" tableColumnId="7"/>
      <queryTableField id="25" dataBound="0" tableColumnId="23"/>
      <queryTableField id="8" name="credit_score" tableColumnId="8"/>
      <queryTableField id="9" name="home_ownership" tableColumnId="9"/>
      <queryTableField id="10" name="dependents" tableColumnId="10"/>
      <queryTableField id="11" name="existing_monthly_debt" tableColumnId="11"/>
      <queryTableField id="26" dataBound="0" tableColumnId="24"/>
      <queryTableField id="14" name="loan_applications.loan_purpose" tableColumnId="14"/>
      <queryTableField id="15" name="loan_applications.loan_amount" tableColumnId="15"/>
      <queryTableField id="16" name="loan_applications.term_months" tableColumnId="16"/>
      <queryTableField id="17" name="loan_applications.interest_rate" tableColumnId="17"/>
      <queryTableField id="18" name="loan_applications.monthly_payment" tableColumnId="18"/>
      <queryTableField id="19" name="loan_applications.dti_ratio" tableColumnId="19"/>
      <queryTableField id="27" dataBound="0" tableColumnId="25"/>
      <queryTableField id="20" name="loan_applications.loan_status" tableColumnId="20"/>
      <queryTableField id="21" name="loan_applications.days_delinquent" tableColumnId="21"/>
      <queryTableField id="22" name="loan_applications.defaulted" tableColumnId="22"/>
      <queryTableField id="31" dataBound="0" tableColumnId="29"/>
      <queryTableField id="32" dataBound="0" tableColumnId="2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A83185-215D-46D2-AB05-94EAA4FCA358}" name="Table3" displayName="Table3" ref="D4:E10" totalsRowShown="0">
  <autoFilter ref="D4:E10" xr:uid="{F6A83185-215D-46D2-AB05-94EAA4FCA358}"/>
  <tableColumns count="2">
    <tableColumn id="1" xr3:uid="{215B3906-010C-44BC-A015-A665FF6A9654}" name="DTI RATIO"/>
    <tableColumn id="2" xr3:uid="{C8E9E8C9-434E-4D4A-92AE-555959DD0596}" name="Average of loans defaulte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EDD2F6-9D18-4EDC-B6A5-020FA2FE2346}" name="Table1" displayName="Table1" ref="B15:C21" totalsRowCount="1">
  <autoFilter ref="B15:C20" xr:uid="{71EDD2F6-9D18-4EDC-B6A5-020FA2FE2346}"/>
  <tableColumns count="2">
    <tableColumn id="1" xr3:uid="{A1C47FF6-49D0-4D81-B245-496F064D00B1}" name="DTI Bracket" dataDxfId="3" totalsRowDxfId="2"/>
    <tableColumn id="2" xr3:uid="{59D79B41-F8C7-4FE6-B18A-89AC482FDB32}" name="Net profit" totalsRowFunction="sum" dataDxfId="1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E933F-530F-4D6E-9A93-22C2A57127E5}" name="Merge1" displayName="Merge1" ref="A1:AA603" tableType="queryTable" totalsRowCount="1">
  <autoFilter ref="A1:AA602" xr:uid="{181E933F-530F-4D6E-9A93-22C2A57127E5}"/>
  <tableColumns count="27">
    <tableColumn id="12" xr3:uid="{6D101285-26AE-4AF4-AFC8-C3BD0E90B2A4}" uniqueName="12" name="loan_applications.loan_id" queryTableFieldId="12" dataDxfId="25"/>
    <tableColumn id="13" xr3:uid="{45B444A9-07D6-4B55-AB91-ADA0568A1A6B}" uniqueName="13" name="loan_applications.borrower_id" queryTableFieldId="13" dataDxfId="24"/>
    <tableColumn id="1" xr3:uid="{D3A30CA8-5ABD-4EBA-ABBB-48FB8185A1B4}" uniqueName="1" name="loan_applications.application_date" queryTableFieldId="1" dataDxfId="23" totalsRowDxfId="22"/>
    <tableColumn id="2" xr3:uid="{0ED8AFE3-F3E8-4AA3-8E4F-B870CF6B2650}" uniqueName="2" name="age" queryTableFieldId="2"/>
    <tableColumn id="3" xr3:uid="{866B9612-4DD3-4518-B47E-07C209FE3BF0}" uniqueName="3" name="state" queryTableFieldId="3" dataDxfId="21"/>
    <tableColumn id="4" xr3:uid="{53F4BD0E-0A36-4809-AC73-38EAD1496DBB}" uniqueName="4" name="education_level" queryTableFieldId="4" dataDxfId="20"/>
    <tableColumn id="5" xr3:uid="{74983BFE-84B6-4FAD-91E9-4EF9304BC3DC}" uniqueName="5" name="employment_status" queryTableFieldId="5" dataDxfId="19"/>
    <tableColumn id="6" xr3:uid="{7437124F-3035-4EFC-9DA8-ADEDF25F19B4}" uniqueName="6" name="years_employed" queryTableFieldId="6"/>
    <tableColumn id="7" xr3:uid="{B6794DCA-9E2E-40F7-BE85-185BDDA1FE79}" uniqueName="7" name="annual_income" queryTableFieldId="7" dataDxfId="18" totalsRowDxfId="17"/>
    <tableColumn id="23" xr3:uid="{812AEA41-95CE-4D5C-8231-9B21AC8544D9}" uniqueName="23" name="Years Employed Bucket" queryTableFieldId="25" dataDxfId="16">
      <calculatedColumnFormula array="1">_xlfn.IFS(Merge1[[#This Row],[years_employed]]&lt;2,"&lt;2 Years",Merge1[[#This Row],[years_employed]]&lt;=5,"2-5 Years",Merge1[[#This Row],[years_employed]]&lt;=10,"5-10 Years",Merge1[[#This Row],[years_employed]]&gt;10,"10+ years")</calculatedColumnFormula>
    </tableColumn>
    <tableColumn id="8" xr3:uid="{0F795D26-DC8D-4530-BD51-696137D90DCA}" uniqueName="8" name="credit_score" queryTableFieldId="8"/>
    <tableColumn id="9" xr3:uid="{79F2CF03-9803-4765-88BB-1B87CD4FF93B}" uniqueName="9" name="home_ownership" queryTableFieldId="9" dataDxfId="15"/>
    <tableColumn id="10" xr3:uid="{26B31BB1-AB8F-4EB2-9D4F-BECCD861E176}" uniqueName="10" name="dependents" queryTableFieldId="10"/>
    <tableColumn id="11" xr3:uid="{05C9F9F5-1440-4AF3-906D-978B22485C5F}" uniqueName="11" name="existing_monthly_debt" queryTableFieldId="11"/>
    <tableColumn id="24" xr3:uid="{7DAC3384-322B-4DC2-BAAB-BBC80F3E6A13}" uniqueName="24" name="Credit score Bucket" queryTableFieldId="26" dataDxfId="14">
      <calculatedColumnFormula array="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calculatedColumnFormula>
    </tableColumn>
    <tableColumn id="14" xr3:uid="{9AA14130-C71D-4D69-AEC0-38EDF12A3EA0}" uniqueName="14" name="loan_applications.loan_purpose" queryTableFieldId="14" dataDxfId="13"/>
    <tableColumn id="15" xr3:uid="{622F0CBF-F0A1-4AC4-BCD4-A75BF2EE9F35}" uniqueName="15" name="loan_applications.loan_amount" queryTableFieldId="15" dataDxfId="12" totalsRowDxfId="11"/>
    <tableColumn id="16" xr3:uid="{F878DBBB-DFF4-434E-A980-B86047277E56}" uniqueName="16" name="loan_applications.term_months" queryTableFieldId="16"/>
    <tableColumn id="17" xr3:uid="{D75D6932-F1C7-4406-A352-F3D4E51AC8A8}" uniqueName="17" name="loan_applications.interest_rate" queryTableFieldId="17"/>
    <tableColumn id="18" xr3:uid="{A8101265-360A-4C1F-BCF6-F68865AAEA00}" uniqueName="18" name="loan_applications.monthly_payment" queryTableFieldId="18"/>
    <tableColumn id="19" xr3:uid="{F5864E12-AA9C-4EC7-A148-AFAB0D7E8193}" uniqueName="19" name="loan_applications.dti_ratio" queryTableFieldId="19"/>
    <tableColumn id="25" xr3:uid="{F581219B-A038-4AA4-8418-3EEEFC3FEBC7}" uniqueName="25" name="DTI ratio Bucket" queryTableFieldId="27" dataDxfId="10">
      <calculatedColumnFormula array="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calculatedColumnFormula>
    </tableColumn>
    <tableColumn id="20" xr3:uid="{E0656DBF-CB6B-49BF-A298-83EB1AAEF44F}" uniqueName="20" name="loan_applications.loan_status" totalsRowLabel="Total count" queryTableFieldId="20" dataDxfId="9"/>
    <tableColumn id="21" xr3:uid="{E19A7827-A7D5-45D6-A656-FD3962EC0F55}" uniqueName="21" name="loan_applications.days_delinquent" queryTableFieldId="21"/>
    <tableColumn id="22" xr3:uid="{D814E83B-EF3E-49F6-BC8B-BD2B02B0131A}" uniqueName="22" name="loan_applications.defaulted" totalsRowFunction="custom" queryTableFieldId="22">
      <totalsRowFormula>COUNT(Y2:Y602)</totalsRowFormula>
    </tableColumn>
    <tableColumn id="29" xr3:uid="{45BED889-31E3-462A-9CF7-765BFE642A01}" uniqueName="29" name="Revenue" totalsRowFunction="custom" queryTableFieldId="31" dataDxfId="8" totalsRowDxfId="7">
      <calculatedColumnFormula>IF(Merge1[[#This Row],[loan_applications.defaulted]]=0,Merge1[[#This Row],[loan_applications.loan_amount]]*(Merge1[[#This Row],[loan_applications.interest_rate]]/100)*(Merge1[[#This Row],[loan_applications.term_months]]/12),0)</calculatedColumnFormula>
      <totalsRowFormula>SUM(Z2:Z602)</totalsRowFormula>
    </tableColumn>
    <tableColumn id="26" xr3:uid="{C631BC73-057F-4254-97D6-D68D866CA76C}" uniqueName="26" name="Net loss" totalsRowFunction="custom" queryTableFieldId="32" dataDxfId="6" totalsRowDxfId="5">
      <calculatedColumnFormula>IF(Merge1[[#This Row],[loan_applications.defaulted]]=1,Merge1[[#This Row],[loan_applications.loan_amount]],0)</calculatedColumnFormula>
      <totalsRowFormula>SUM(AA2:AA602)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DD56-9E58-4064-80B3-C00E53FA1CBB}">
  <dimension ref="A3:B9"/>
  <sheetViews>
    <sheetView workbookViewId="0">
      <selection activeCell="H15" sqref="H15"/>
    </sheetView>
  </sheetViews>
  <sheetFormatPr defaultRowHeight="14.5" x14ac:dyDescent="0.35"/>
  <cols>
    <col min="1" max="1" width="13.36328125" bestFit="1" customWidth="1"/>
    <col min="2" max="2" width="22.08984375" bestFit="1" customWidth="1"/>
  </cols>
  <sheetData>
    <row r="3" spans="1:2" x14ac:dyDescent="0.35">
      <c r="A3" s="2" t="s">
        <v>1181</v>
      </c>
      <c r="B3" t="s">
        <v>1214</v>
      </c>
    </row>
    <row r="4" spans="1:2" x14ac:dyDescent="0.35">
      <c r="A4" s="3" t="s">
        <v>1175</v>
      </c>
      <c r="B4" s="4">
        <v>0.49137931034482757</v>
      </c>
    </row>
    <row r="5" spans="1:2" x14ac:dyDescent="0.35">
      <c r="A5" s="3" t="s">
        <v>1176</v>
      </c>
      <c r="B5" s="4">
        <v>0.29032258064516131</v>
      </c>
    </row>
    <row r="6" spans="1:2" x14ac:dyDescent="0.35">
      <c r="A6" s="3" t="s">
        <v>1177</v>
      </c>
      <c r="B6" s="4">
        <v>0.28000000000000003</v>
      </c>
    </row>
    <row r="7" spans="1:2" x14ac:dyDescent="0.35">
      <c r="A7" s="3" t="s">
        <v>1178</v>
      </c>
      <c r="B7" s="4">
        <v>0.16279069767441862</v>
      </c>
    </row>
    <row r="8" spans="1:2" x14ac:dyDescent="0.35">
      <c r="A8" s="3" t="s">
        <v>1179</v>
      </c>
      <c r="B8" s="4">
        <v>0.11688311688311688</v>
      </c>
    </row>
    <row r="9" spans="1:2" x14ac:dyDescent="0.35">
      <c r="A9" s="3" t="s">
        <v>1180</v>
      </c>
      <c r="B9" s="4">
        <v>0.24292845257903495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8819-0C3D-4A1E-9652-4668067E2C86}">
  <dimension ref="A3:E25"/>
  <sheetViews>
    <sheetView workbookViewId="0">
      <selection activeCell="B13" sqref="B13"/>
    </sheetView>
  </sheetViews>
  <sheetFormatPr defaultRowHeight="14.5" x14ac:dyDescent="0.35"/>
  <cols>
    <col min="1" max="1" width="10.54296875" bestFit="1" customWidth="1"/>
    <col min="2" max="2" width="22.08984375" bestFit="1" customWidth="1"/>
    <col min="3" max="3" width="23" customWidth="1"/>
    <col min="4" max="4" width="10.90625" customWidth="1"/>
    <col min="5" max="5" width="24.7265625" customWidth="1"/>
  </cols>
  <sheetData>
    <row r="3" spans="1:5" x14ac:dyDescent="0.35">
      <c r="A3" s="2" t="s">
        <v>1187</v>
      </c>
      <c r="B3" t="s">
        <v>1214</v>
      </c>
    </row>
    <row r="4" spans="1:5" x14ac:dyDescent="0.35">
      <c r="A4" s="3" t="s">
        <v>1182</v>
      </c>
      <c r="B4" s="4">
        <v>0.16666666666666666</v>
      </c>
      <c r="D4" t="s">
        <v>1229</v>
      </c>
      <c r="E4" t="s">
        <v>1230</v>
      </c>
    </row>
    <row r="5" spans="1:5" x14ac:dyDescent="0.35">
      <c r="A5" s="3" t="s">
        <v>1183</v>
      </c>
      <c r="B5" s="4">
        <v>0.10526315789473684</v>
      </c>
      <c r="D5" t="s">
        <v>1223</v>
      </c>
      <c r="E5" s="4">
        <v>0.16666666666666666</v>
      </c>
    </row>
    <row r="6" spans="1:5" x14ac:dyDescent="0.35">
      <c r="A6" s="3" t="s">
        <v>1184</v>
      </c>
      <c r="B6" s="4">
        <v>0.21111111111111111</v>
      </c>
      <c r="D6" t="s">
        <v>1224</v>
      </c>
      <c r="E6" s="4">
        <v>0.10526315789473684</v>
      </c>
    </row>
    <row r="7" spans="1:5" x14ac:dyDescent="0.35">
      <c r="A7" s="3" t="s">
        <v>1185</v>
      </c>
      <c r="B7" s="4">
        <v>0.27672955974842767</v>
      </c>
      <c r="D7" t="s">
        <v>1225</v>
      </c>
      <c r="E7" s="4">
        <v>0.21111111111111111</v>
      </c>
    </row>
    <row r="8" spans="1:5" x14ac:dyDescent="0.35">
      <c r="A8" s="3" t="s">
        <v>1186</v>
      </c>
      <c r="B8" s="4">
        <v>0.35672514619883039</v>
      </c>
      <c r="D8" t="s">
        <v>1226</v>
      </c>
      <c r="E8" s="4">
        <v>0.27672955974842767</v>
      </c>
    </row>
    <row r="9" spans="1:5" x14ac:dyDescent="0.35">
      <c r="A9" s="3" t="s">
        <v>1180</v>
      </c>
      <c r="B9" s="4">
        <v>0.24292845257903495</v>
      </c>
      <c r="D9" t="s">
        <v>1227</v>
      </c>
      <c r="E9" s="4">
        <v>0.35672514619883039</v>
      </c>
    </row>
    <row r="10" spans="1:5" x14ac:dyDescent="0.35">
      <c r="D10" t="s">
        <v>1228</v>
      </c>
      <c r="E10" s="4">
        <v>0.24292845257903495</v>
      </c>
    </row>
    <row r="20" spans="3:3" x14ac:dyDescent="0.35">
      <c r="C20" s="4"/>
    </row>
    <row r="21" spans="3:3" x14ac:dyDescent="0.35">
      <c r="C21" s="4"/>
    </row>
    <row r="22" spans="3:3" x14ac:dyDescent="0.35">
      <c r="C22" s="4"/>
    </row>
    <row r="23" spans="3:3" x14ac:dyDescent="0.35">
      <c r="C23" s="4"/>
    </row>
    <row r="24" spans="3:3" x14ac:dyDescent="0.35">
      <c r="C24" s="4"/>
    </row>
    <row r="25" spans="3:3" x14ac:dyDescent="0.35">
      <c r="C25" s="4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7E30-746E-482A-86E9-F19902C97A79}">
  <dimension ref="A3:S37"/>
  <sheetViews>
    <sheetView workbookViewId="0">
      <selection activeCell="B30" sqref="B30"/>
    </sheetView>
  </sheetViews>
  <sheetFormatPr defaultRowHeight="14.5" x14ac:dyDescent="0.35"/>
  <cols>
    <col min="1" max="1" width="12.453125" bestFit="1" customWidth="1"/>
    <col min="2" max="2" width="13.7265625" bestFit="1" customWidth="1"/>
    <col min="3" max="3" width="22.08984375" bestFit="1" customWidth="1"/>
    <col min="4" max="4" width="14.36328125" bestFit="1" customWidth="1"/>
    <col min="5" max="15" width="22.08984375" bestFit="1" customWidth="1"/>
    <col min="16" max="16" width="18.26953125" bestFit="1" customWidth="1"/>
    <col min="17" max="17" width="26.6328125" bestFit="1" customWidth="1"/>
    <col min="18" max="18" width="18.90625" bestFit="1" customWidth="1"/>
  </cols>
  <sheetData>
    <row r="3" spans="1:6" x14ac:dyDescent="0.35">
      <c r="A3" s="2" t="s">
        <v>1216</v>
      </c>
      <c r="B3" t="s">
        <v>1214</v>
      </c>
      <c r="C3" t="s">
        <v>1200</v>
      </c>
      <c r="D3" t="s">
        <v>1199</v>
      </c>
      <c r="E3" t="s">
        <v>1202</v>
      </c>
    </row>
    <row r="4" spans="1:6" x14ac:dyDescent="0.35">
      <c r="A4" s="3" t="s">
        <v>1182</v>
      </c>
      <c r="B4" s="4">
        <v>0.16666666666666666</v>
      </c>
      <c r="C4" s="5">
        <v>108400</v>
      </c>
      <c r="D4" s="5">
        <v>199798.92</v>
      </c>
      <c r="E4" s="5">
        <f>D4-C4</f>
        <v>91398.920000000013</v>
      </c>
    </row>
    <row r="5" spans="1:6" x14ac:dyDescent="0.35">
      <c r="A5" s="3" t="s">
        <v>1183</v>
      </c>
      <c r="B5" s="4">
        <v>0.10526315789473684</v>
      </c>
      <c r="C5" s="5">
        <v>204400</v>
      </c>
      <c r="D5" s="5">
        <v>858030.53999999992</v>
      </c>
      <c r="E5" s="5">
        <f t="shared" ref="E5:E8" si="0">D5-C5</f>
        <v>653630.53999999992</v>
      </c>
    </row>
    <row r="6" spans="1:6" x14ac:dyDescent="0.35">
      <c r="A6" s="3" t="s">
        <v>1184</v>
      </c>
      <c r="B6" s="4">
        <v>0.21111111111111111</v>
      </c>
      <c r="C6" s="5">
        <v>328800</v>
      </c>
      <c r="D6" s="5">
        <v>566895.65</v>
      </c>
      <c r="E6" s="5">
        <f t="shared" si="0"/>
        <v>238095.65000000002</v>
      </c>
    </row>
    <row r="7" spans="1:6" x14ac:dyDescent="0.35">
      <c r="A7" s="3" t="s">
        <v>1185</v>
      </c>
      <c r="B7" s="4">
        <v>0.27672955974842767</v>
      </c>
      <c r="C7" s="5">
        <v>792300</v>
      </c>
      <c r="D7" s="5">
        <v>841277.31999999983</v>
      </c>
      <c r="E7" s="5">
        <f t="shared" si="0"/>
        <v>48977.319999999832</v>
      </c>
      <c r="F7" s="5"/>
    </row>
    <row r="8" spans="1:6" x14ac:dyDescent="0.35">
      <c r="A8" s="3" t="s">
        <v>1186</v>
      </c>
      <c r="B8" s="4">
        <v>0.35672514619883039</v>
      </c>
      <c r="C8" s="5">
        <v>1861400</v>
      </c>
      <c r="D8" s="5">
        <v>710565.62999999977</v>
      </c>
      <c r="E8" s="5">
        <f t="shared" si="0"/>
        <v>-1150834.3700000001</v>
      </c>
      <c r="F8" s="5"/>
    </row>
    <row r="9" spans="1:6" x14ac:dyDescent="0.35">
      <c r="A9" s="3" t="s">
        <v>1180</v>
      </c>
      <c r="B9" s="4">
        <v>0.24292845257903495</v>
      </c>
      <c r="C9" s="5">
        <v>3295300</v>
      </c>
      <c r="D9" s="5">
        <v>3176568.060000001</v>
      </c>
    </row>
    <row r="15" spans="1:6" x14ac:dyDescent="0.35">
      <c r="B15" t="s">
        <v>1203</v>
      </c>
      <c r="C15" s="5" t="s">
        <v>1202</v>
      </c>
    </row>
    <row r="16" spans="1:6" x14ac:dyDescent="0.35">
      <c r="B16" s="3" t="s">
        <v>1182</v>
      </c>
      <c r="C16" s="5">
        <v>91398.920000000013</v>
      </c>
    </row>
    <row r="17" spans="1:19" x14ac:dyDescent="0.35">
      <c r="B17" s="3" t="s">
        <v>1183</v>
      </c>
      <c r="C17" s="5">
        <v>653630.53999999992</v>
      </c>
    </row>
    <row r="18" spans="1:19" x14ac:dyDescent="0.35">
      <c r="B18" s="3" t="s">
        <v>1184</v>
      </c>
      <c r="C18" s="5">
        <v>238095.65000000002</v>
      </c>
    </row>
    <row r="19" spans="1:19" x14ac:dyDescent="0.35">
      <c r="B19" s="3" t="s">
        <v>1185</v>
      </c>
      <c r="C19" s="5">
        <v>48977.319999999832</v>
      </c>
    </row>
    <row r="20" spans="1:19" x14ac:dyDescent="0.35">
      <c r="B20" s="3" t="s">
        <v>1186</v>
      </c>
      <c r="C20" s="5">
        <v>-1150834.3700000001</v>
      </c>
    </row>
    <row r="21" spans="1:19" x14ac:dyDescent="0.35">
      <c r="B21" s="3"/>
      <c r="C21" s="5">
        <f>SUBTOTAL(109,Table1[Net profit])</f>
        <v>-118731.94000000029</v>
      </c>
    </row>
    <row r="29" spans="1:19" x14ac:dyDescent="0.35">
      <c r="B29" s="2" t="s">
        <v>1232</v>
      </c>
    </row>
    <row r="30" spans="1:19" x14ac:dyDescent="0.35">
      <c r="B30" t="s">
        <v>1175</v>
      </c>
      <c r="E30" t="s">
        <v>1176</v>
      </c>
      <c r="H30" t="s">
        <v>1177</v>
      </c>
      <c r="K30" t="s">
        <v>1178</v>
      </c>
      <c r="N30" t="s">
        <v>1179</v>
      </c>
      <c r="Q30" t="s">
        <v>1218</v>
      </c>
      <c r="R30" t="s">
        <v>1219</v>
      </c>
      <c r="S30" t="s">
        <v>1220</v>
      </c>
    </row>
    <row r="31" spans="1:19" x14ac:dyDescent="0.35">
      <c r="A31" s="2" t="s">
        <v>1216</v>
      </c>
      <c r="B31" t="s">
        <v>1214</v>
      </c>
      <c r="C31" t="s">
        <v>1200</v>
      </c>
      <c r="D31" t="s">
        <v>1199</v>
      </c>
      <c r="E31" t="s">
        <v>1214</v>
      </c>
      <c r="F31" t="s">
        <v>1200</v>
      </c>
      <c r="G31" t="s">
        <v>1199</v>
      </c>
      <c r="H31" t="s">
        <v>1214</v>
      </c>
      <c r="I31" t="s">
        <v>1200</v>
      </c>
      <c r="J31" t="s">
        <v>1199</v>
      </c>
      <c r="K31" t="s">
        <v>1214</v>
      </c>
      <c r="L31" t="s">
        <v>1200</v>
      </c>
      <c r="M31" t="s">
        <v>1199</v>
      </c>
      <c r="N31" t="s">
        <v>1214</v>
      </c>
      <c r="O31" t="s">
        <v>1200</v>
      </c>
      <c r="P31" t="s">
        <v>1199</v>
      </c>
    </row>
    <row r="32" spans="1:19" x14ac:dyDescent="0.35">
      <c r="A32" s="3" t="s">
        <v>1182</v>
      </c>
      <c r="B32" s="4">
        <v>0.1111111111111111</v>
      </c>
      <c r="C32" s="5">
        <v>17200</v>
      </c>
      <c r="D32" s="5">
        <v>50814.420000000006</v>
      </c>
      <c r="E32" s="4">
        <v>0.2</v>
      </c>
      <c r="F32" s="5">
        <v>47700</v>
      </c>
      <c r="G32" s="5">
        <v>31834.959999999999</v>
      </c>
      <c r="H32" s="4">
        <v>0.2857142857142857</v>
      </c>
      <c r="I32" s="5">
        <v>22200</v>
      </c>
      <c r="J32" s="5">
        <v>18015.600000000002</v>
      </c>
      <c r="K32" s="4">
        <v>0.1111111111111111</v>
      </c>
      <c r="L32" s="5">
        <v>3400</v>
      </c>
      <c r="M32" s="5">
        <v>42861.66</v>
      </c>
      <c r="N32" s="4">
        <v>0.15384615384615385</v>
      </c>
      <c r="O32" s="5">
        <v>17900</v>
      </c>
      <c r="P32" s="5">
        <v>56272.280000000006</v>
      </c>
      <c r="Q32" s="4">
        <v>0.16666666666666666</v>
      </c>
      <c r="R32" s="5">
        <v>108400</v>
      </c>
      <c r="S32" s="5">
        <v>199798.92</v>
      </c>
    </row>
    <row r="33" spans="1:19" x14ac:dyDescent="0.35">
      <c r="A33" s="3" t="s">
        <v>1183</v>
      </c>
      <c r="B33" s="4">
        <v>0.2857142857142857</v>
      </c>
      <c r="C33" s="5">
        <v>85100</v>
      </c>
      <c r="D33" s="5">
        <v>124067.46000000002</v>
      </c>
      <c r="E33" s="4">
        <v>0.15</v>
      </c>
      <c r="F33" s="5">
        <v>27800</v>
      </c>
      <c r="G33" s="5">
        <v>145097.27999999997</v>
      </c>
      <c r="H33" s="4">
        <v>6.25E-2</v>
      </c>
      <c r="I33" s="5">
        <v>5400</v>
      </c>
      <c r="J33" s="5">
        <v>131579.55000000002</v>
      </c>
      <c r="K33" s="4">
        <v>8.6956521739130432E-2</v>
      </c>
      <c r="L33" s="5">
        <v>11300</v>
      </c>
      <c r="M33" s="5">
        <v>177683.76000000004</v>
      </c>
      <c r="N33" s="4">
        <v>6.6666666666666666E-2</v>
      </c>
      <c r="O33" s="5">
        <v>74800</v>
      </c>
      <c r="P33" s="5">
        <v>279602.49</v>
      </c>
      <c r="Q33" s="4">
        <v>0.10526315789473684</v>
      </c>
      <c r="R33" s="5">
        <v>204400</v>
      </c>
      <c r="S33" s="5">
        <v>858030.54000000015</v>
      </c>
    </row>
    <row r="34" spans="1:19" x14ac:dyDescent="0.35">
      <c r="A34" s="3" t="s">
        <v>1184</v>
      </c>
      <c r="B34" s="4">
        <v>0.38461538461538464</v>
      </c>
      <c r="C34" s="5">
        <v>83400</v>
      </c>
      <c r="D34" s="5">
        <v>88076.66</v>
      </c>
      <c r="E34" s="4">
        <v>0.23529411764705882</v>
      </c>
      <c r="F34" s="5">
        <v>61600</v>
      </c>
      <c r="G34" s="5">
        <v>76058.780000000013</v>
      </c>
      <c r="H34" s="4">
        <v>0.3</v>
      </c>
      <c r="I34" s="5">
        <v>74500</v>
      </c>
      <c r="J34" s="5">
        <v>54443.16</v>
      </c>
      <c r="K34" s="4">
        <v>0.1875</v>
      </c>
      <c r="L34" s="5">
        <v>47800</v>
      </c>
      <c r="M34" s="5">
        <v>120812.81</v>
      </c>
      <c r="N34" s="4">
        <v>0.11764705882352941</v>
      </c>
      <c r="O34" s="5">
        <v>61500</v>
      </c>
      <c r="P34" s="5">
        <v>227504.24000000005</v>
      </c>
      <c r="Q34" s="4">
        <v>0.21111111111111111</v>
      </c>
      <c r="R34" s="5">
        <v>328800</v>
      </c>
      <c r="S34" s="5">
        <v>566895.65</v>
      </c>
    </row>
    <row r="35" spans="1:19" x14ac:dyDescent="0.35">
      <c r="A35" s="3" t="s">
        <v>1185</v>
      </c>
      <c r="B35" s="4">
        <v>0.54545454545454541</v>
      </c>
      <c r="C35" s="5">
        <v>297400</v>
      </c>
      <c r="D35" s="5">
        <v>81346.150000000009</v>
      </c>
      <c r="E35" s="4">
        <v>0.38095238095238093</v>
      </c>
      <c r="F35" s="5">
        <v>126300</v>
      </c>
      <c r="G35" s="5">
        <v>122475.57</v>
      </c>
      <c r="H35" s="4">
        <v>0.2857142857142857</v>
      </c>
      <c r="I35" s="5">
        <v>133000</v>
      </c>
      <c r="J35" s="5">
        <v>149177.64999999997</v>
      </c>
      <c r="K35" s="4">
        <v>0.1111111111111111</v>
      </c>
      <c r="L35" s="5">
        <v>31600</v>
      </c>
      <c r="M35" s="5">
        <v>90908.48000000001</v>
      </c>
      <c r="N35" s="4">
        <v>0.15151515151515152</v>
      </c>
      <c r="O35" s="5">
        <v>204000</v>
      </c>
      <c r="P35" s="5">
        <v>397369.46999999986</v>
      </c>
      <c r="Q35" s="4">
        <v>0.27672955974842767</v>
      </c>
      <c r="R35" s="5">
        <v>792300</v>
      </c>
      <c r="S35" s="5">
        <v>841277.32000000007</v>
      </c>
    </row>
    <row r="36" spans="1:19" x14ac:dyDescent="0.35">
      <c r="A36" s="3" t="s">
        <v>1186</v>
      </c>
      <c r="B36" s="4">
        <v>0.61702127659574468</v>
      </c>
      <c r="C36" s="5">
        <v>893500</v>
      </c>
      <c r="D36" s="5">
        <v>147342.59</v>
      </c>
      <c r="E36" s="4">
        <v>0.4</v>
      </c>
      <c r="F36" s="5">
        <v>261000</v>
      </c>
      <c r="G36" s="5">
        <v>114697.79000000001</v>
      </c>
      <c r="H36" s="4">
        <v>0.42857142857142855</v>
      </c>
      <c r="I36" s="5">
        <v>314800</v>
      </c>
      <c r="J36" s="5">
        <v>77451.759999999995</v>
      </c>
      <c r="K36" s="4">
        <v>0.3</v>
      </c>
      <c r="L36" s="5">
        <v>170800</v>
      </c>
      <c r="M36" s="5">
        <v>109552.35999999999</v>
      </c>
      <c r="N36" s="4">
        <v>0.1206896551724138</v>
      </c>
      <c r="O36" s="5">
        <v>221300</v>
      </c>
      <c r="P36" s="5">
        <v>261521.12999999998</v>
      </c>
      <c r="Q36" s="4">
        <v>0.35672514619883039</v>
      </c>
      <c r="R36" s="5">
        <v>1861400</v>
      </c>
      <c r="S36" s="5">
        <v>710565.62999999977</v>
      </c>
    </row>
    <row r="37" spans="1:19" x14ac:dyDescent="0.35">
      <c r="A37" s="3" t="s">
        <v>1180</v>
      </c>
      <c r="B37" s="4">
        <v>0.49137931034482757</v>
      </c>
      <c r="C37" s="5">
        <v>1376600</v>
      </c>
      <c r="D37" s="5">
        <v>491647.28000000014</v>
      </c>
      <c r="E37" s="4">
        <v>0.29032258064516131</v>
      </c>
      <c r="F37" s="5">
        <v>524400</v>
      </c>
      <c r="G37" s="5">
        <v>490164.37999999995</v>
      </c>
      <c r="H37" s="4">
        <v>0.28000000000000003</v>
      </c>
      <c r="I37" s="5">
        <v>549900</v>
      </c>
      <c r="J37" s="5">
        <v>430667.72000000009</v>
      </c>
      <c r="K37" s="4">
        <v>0.16279069767441862</v>
      </c>
      <c r="L37" s="5">
        <v>264900</v>
      </c>
      <c r="M37" s="5">
        <v>541819.06999999983</v>
      </c>
      <c r="N37" s="4">
        <v>0.11688311688311688</v>
      </c>
      <c r="O37" s="5">
        <v>579500</v>
      </c>
      <c r="P37" s="5">
        <v>1222269.6100000001</v>
      </c>
      <c r="Q37" s="4">
        <v>0.24292845257903495</v>
      </c>
      <c r="R37" s="5">
        <v>3295300</v>
      </c>
      <c r="S37" s="5">
        <v>3176568.0600000005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0ECE-A4F5-4909-B1DD-544AFEB84844}">
  <dimension ref="A3:F25"/>
  <sheetViews>
    <sheetView zoomScale="66" workbookViewId="0">
      <selection activeCell="F23" sqref="F23"/>
    </sheetView>
  </sheetViews>
  <sheetFormatPr defaultRowHeight="14.5" x14ac:dyDescent="0.35"/>
  <cols>
    <col min="1" max="1" width="10.36328125" bestFit="1" customWidth="1"/>
    <col min="2" max="2" width="32.26953125" bestFit="1" customWidth="1"/>
    <col min="3" max="3" width="36.6328125" bestFit="1" customWidth="1"/>
  </cols>
  <sheetData>
    <row r="3" spans="1:2" x14ac:dyDescent="0.35">
      <c r="A3" s="2" t="s">
        <v>1208</v>
      </c>
      <c r="B3" t="s">
        <v>1214</v>
      </c>
    </row>
    <row r="4" spans="1:2" x14ac:dyDescent="0.35">
      <c r="A4" s="3" t="s">
        <v>37</v>
      </c>
      <c r="B4" s="4">
        <v>0.2711864406779661</v>
      </c>
    </row>
    <row r="5" spans="1:2" x14ac:dyDescent="0.35">
      <c r="A5" s="3" t="s">
        <v>56</v>
      </c>
      <c r="B5" s="4">
        <v>0.2413793103448276</v>
      </c>
    </row>
    <row r="6" spans="1:2" x14ac:dyDescent="0.35">
      <c r="A6" s="3" t="s">
        <v>60</v>
      </c>
      <c r="B6" s="4">
        <v>0.21568627450980393</v>
      </c>
    </row>
    <row r="7" spans="1:2" x14ac:dyDescent="0.35">
      <c r="A7" s="3" t="s">
        <v>45</v>
      </c>
      <c r="B7" s="4">
        <v>0.22641509433962265</v>
      </c>
    </row>
    <row r="8" spans="1:2" x14ac:dyDescent="0.35">
      <c r="A8" s="3" t="s">
        <v>54</v>
      </c>
      <c r="B8" s="4">
        <v>0.2857142857142857</v>
      </c>
    </row>
    <row r="9" spans="1:2" x14ac:dyDescent="0.35">
      <c r="A9" s="3" t="s">
        <v>23</v>
      </c>
      <c r="B9" s="4">
        <v>0.22058823529411764</v>
      </c>
    </row>
    <row r="10" spans="1:2" x14ac:dyDescent="0.35">
      <c r="A10" s="3" t="s">
        <v>50</v>
      </c>
      <c r="B10" s="4">
        <v>0.20588235294117646</v>
      </c>
    </row>
    <row r="11" spans="1:2" x14ac:dyDescent="0.35">
      <c r="A11" s="3" t="s">
        <v>30</v>
      </c>
      <c r="B11" s="4">
        <v>0.21428571428571427</v>
      </c>
    </row>
    <row r="12" spans="1:2" x14ac:dyDescent="0.35">
      <c r="A12" s="3" t="s">
        <v>20</v>
      </c>
      <c r="B12" s="4">
        <v>0.22580645161290322</v>
      </c>
    </row>
    <row r="13" spans="1:2" x14ac:dyDescent="0.35">
      <c r="A13" s="3" t="s">
        <v>71</v>
      </c>
      <c r="B13" s="4">
        <v>0.32142857142857145</v>
      </c>
    </row>
    <row r="14" spans="1:2" x14ac:dyDescent="0.35">
      <c r="A14" s="3" t="s">
        <v>1180</v>
      </c>
      <c r="B14" s="4">
        <v>0.24292845257903495</v>
      </c>
    </row>
    <row r="22" spans="1:6" x14ac:dyDescent="0.35">
      <c r="A22" s="2" t="s">
        <v>24</v>
      </c>
      <c r="B22" t="s">
        <v>1217</v>
      </c>
      <c r="C22" t="s">
        <v>1215</v>
      </c>
    </row>
    <row r="23" spans="1:6" x14ac:dyDescent="0.35">
      <c r="A23" s="3">
        <v>0</v>
      </c>
      <c r="B23">
        <v>455</v>
      </c>
      <c r="C23" s="5">
        <v>22012.747252747253</v>
      </c>
      <c r="D23" s="4"/>
      <c r="F23" s="4">
        <v>2.5339894473581023E-2</v>
      </c>
    </row>
    <row r="24" spans="1:6" x14ac:dyDescent="0.35">
      <c r="A24" s="3">
        <v>1</v>
      </c>
      <c r="B24">
        <v>146</v>
      </c>
      <c r="C24" s="5">
        <v>22570.547945205479</v>
      </c>
    </row>
    <row r="25" spans="1:6" x14ac:dyDescent="0.35">
      <c r="A25" s="3" t="s">
        <v>1180</v>
      </c>
      <c r="B25">
        <v>601</v>
      </c>
      <c r="C25" s="5">
        <v>22148.252911813644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224B-A40D-48C0-B564-0193638F2EFE}">
  <dimension ref="A3:F10"/>
  <sheetViews>
    <sheetView workbookViewId="0">
      <selection activeCell="B5" sqref="B5"/>
    </sheetView>
  </sheetViews>
  <sheetFormatPr defaultRowHeight="14.5" x14ac:dyDescent="0.35"/>
  <cols>
    <col min="1" max="1" width="22.08984375" bestFit="1" customWidth="1"/>
    <col min="2" max="2" width="15.6328125" bestFit="1" customWidth="1"/>
    <col min="3" max="3" width="8.6328125" bestFit="1" customWidth="1"/>
    <col min="4" max="4" width="8.453125" bestFit="1" customWidth="1"/>
    <col min="5" max="5" width="9.453125" bestFit="1" customWidth="1"/>
    <col min="6" max="6" width="10.36328125" bestFit="1" customWidth="1"/>
    <col min="7" max="11" width="1.81640625" bestFit="1" customWidth="1"/>
    <col min="12" max="37" width="2.81640625" bestFit="1" customWidth="1"/>
    <col min="38" max="38" width="10.36328125" bestFit="1" customWidth="1"/>
  </cols>
  <sheetData>
    <row r="3" spans="1:6" x14ac:dyDescent="0.35">
      <c r="A3" s="2" t="s">
        <v>1214</v>
      </c>
      <c r="B3" s="2" t="s">
        <v>1190</v>
      </c>
    </row>
    <row r="4" spans="1:6" x14ac:dyDescent="0.35">
      <c r="A4" s="2" t="s">
        <v>1209</v>
      </c>
      <c r="B4" t="s">
        <v>1204</v>
      </c>
      <c r="C4" t="s">
        <v>1205</v>
      </c>
      <c r="D4" t="s">
        <v>1206</v>
      </c>
      <c r="E4" t="s">
        <v>1207</v>
      </c>
      <c r="F4" t="s">
        <v>1180</v>
      </c>
    </row>
    <row r="5" spans="1:6" x14ac:dyDescent="0.35">
      <c r="A5" s="3" t="s">
        <v>33</v>
      </c>
      <c r="B5" s="4">
        <v>0.1111111111111111</v>
      </c>
      <c r="C5" s="4">
        <v>0.22222222222222221</v>
      </c>
      <c r="D5" s="4">
        <v>0.16666666666666666</v>
      </c>
      <c r="E5" s="4">
        <v>0.33333333333333331</v>
      </c>
      <c r="F5" s="4">
        <v>0.22727272727272727</v>
      </c>
    </row>
    <row r="6" spans="1:6" x14ac:dyDescent="0.35">
      <c r="A6" s="3" t="s">
        <v>26</v>
      </c>
      <c r="B6" s="4">
        <v>0.38095238095238093</v>
      </c>
      <c r="C6" s="4">
        <v>0.22068965517241379</v>
      </c>
      <c r="D6" s="4">
        <v>0.15189873417721519</v>
      </c>
      <c r="E6" s="4">
        <v>0.33333333333333331</v>
      </c>
      <c r="F6" s="4">
        <v>0.23934426229508196</v>
      </c>
    </row>
    <row r="7" spans="1:6" x14ac:dyDescent="0.35">
      <c r="A7" s="3" t="s">
        <v>63</v>
      </c>
      <c r="B7" s="4">
        <v>0.55555555555555558</v>
      </c>
      <c r="C7" s="4">
        <v>0.26923076923076922</v>
      </c>
      <c r="D7" s="4">
        <v>0.16666666666666666</v>
      </c>
      <c r="E7" s="4">
        <v>0.25</v>
      </c>
      <c r="F7" s="4">
        <v>0.27692307692307694</v>
      </c>
    </row>
    <row r="8" spans="1:6" x14ac:dyDescent="0.35">
      <c r="A8" s="3" t="s">
        <v>75</v>
      </c>
      <c r="B8" s="4">
        <v>0.3</v>
      </c>
      <c r="C8" s="4">
        <v>0.22222222222222221</v>
      </c>
      <c r="D8" s="4">
        <v>0.2</v>
      </c>
      <c r="E8" s="4">
        <v>0.25</v>
      </c>
      <c r="F8" s="4">
        <v>0.23333333333333334</v>
      </c>
    </row>
    <row r="9" spans="1:6" x14ac:dyDescent="0.35">
      <c r="A9" s="3" t="s">
        <v>16</v>
      </c>
      <c r="B9" s="4">
        <v>0.2857142857142857</v>
      </c>
      <c r="C9" s="4">
        <v>0.24444444444444444</v>
      </c>
      <c r="D9" s="4">
        <v>0.17647058823529413</v>
      </c>
      <c r="E9" s="4">
        <v>0.27586206896551724</v>
      </c>
      <c r="F9" s="4">
        <v>0.24761904761904763</v>
      </c>
    </row>
    <row r="10" spans="1:6" x14ac:dyDescent="0.35">
      <c r="A10" s="3" t="s">
        <v>1180</v>
      </c>
      <c r="B10" s="4">
        <v>0.34523809523809523</v>
      </c>
      <c r="C10" s="4">
        <v>0.22988505747126436</v>
      </c>
      <c r="D10" s="4">
        <v>0.16438356164383561</v>
      </c>
      <c r="E10" s="4">
        <v>0.3</v>
      </c>
      <c r="F10" s="4">
        <v>0.24292845257903495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04EA-59A8-469B-A66B-F109FB3E33AD}">
  <dimension ref="A3:G9"/>
  <sheetViews>
    <sheetView workbookViewId="0">
      <selection activeCell="G8" sqref="G8"/>
    </sheetView>
  </sheetViews>
  <sheetFormatPr defaultRowHeight="14.5" x14ac:dyDescent="0.35"/>
  <cols>
    <col min="1" max="1" width="12.453125" bestFit="1" customWidth="1"/>
    <col min="2" max="2" width="13.7265625" bestFit="1" customWidth="1"/>
    <col min="3" max="3" width="14.36328125" bestFit="1" customWidth="1"/>
    <col min="4" max="4" width="33.81640625" bestFit="1" customWidth="1"/>
    <col min="6" max="6" width="9" bestFit="1" customWidth="1"/>
    <col min="7" max="7" width="10.54296875" bestFit="1" customWidth="1"/>
  </cols>
  <sheetData>
    <row r="3" spans="1:7" x14ac:dyDescent="0.35">
      <c r="A3" s="2" t="s">
        <v>1201</v>
      </c>
      <c r="B3" t="s">
        <v>1200</v>
      </c>
      <c r="C3" t="s">
        <v>1199</v>
      </c>
      <c r="D3" t="s">
        <v>1214</v>
      </c>
      <c r="F3" t="s">
        <v>1221</v>
      </c>
    </row>
    <row r="4" spans="1:7" x14ac:dyDescent="0.35">
      <c r="A4" s="3" t="s">
        <v>1175</v>
      </c>
      <c r="B4" s="5">
        <v>1376600</v>
      </c>
      <c r="C4" s="5">
        <v>491647.27999999997</v>
      </c>
      <c r="D4" s="4">
        <v>0.49137931034482757</v>
      </c>
      <c r="F4" s="5">
        <f>C4-B4</f>
        <v>-884952.72</v>
      </c>
    </row>
    <row r="5" spans="1:7" x14ac:dyDescent="0.35">
      <c r="A5" s="3" t="s">
        <v>1176</v>
      </c>
      <c r="B5" s="5">
        <v>524400</v>
      </c>
      <c r="C5" s="5">
        <v>490164.38000000006</v>
      </c>
      <c r="D5" s="4">
        <v>0.29032258064516131</v>
      </c>
      <c r="F5" s="5">
        <f t="shared" ref="F5:F8" si="0">C5-B5</f>
        <v>-34235.619999999937</v>
      </c>
    </row>
    <row r="6" spans="1:7" x14ac:dyDescent="0.35">
      <c r="A6" s="3" t="s">
        <v>1177</v>
      </c>
      <c r="B6" s="5">
        <v>549900</v>
      </c>
      <c r="C6" s="5">
        <v>430667.72000000015</v>
      </c>
      <c r="D6" s="4">
        <v>0.28000000000000003</v>
      </c>
      <c r="F6" s="5">
        <f t="shared" si="0"/>
        <v>-119232.27999999985</v>
      </c>
      <c r="G6" s="5">
        <f>SUM(F4:F6)</f>
        <v>-1038420.6199999996</v>
      </c>
    </row>
    <row r="7" spans="1:7" x14ac:dyDescent="0.35">
      <c r="A7" s="3" t="s">
        <v>1178</v>
      </c>
      <c r="B7" s="5">
        <v>264900</v>
      </c>
      <c r="C7" s="5">
        <v>541819.06999999995</v>
      </c>
      <c r="D7" s="4">
        <v>0.16279069767441862</v>
      </c>
      <c r="F7" s="5">
        <f t="shared" si="0"/>
        <v>276919.06999999995</v>
      </c>
      <c r="G7" s="5">
        <f>SUM(F7:F8)</f>
        <v>919688.67999999935</v>
      </c>
    </row>
    <row r="8" spans="1:7" x14ac:dyDescent="0.35">
      <c r="A8" s="3" t="s">
        <v>1179</v>
      </c>
      <c r="B8" s="5">
        <v>579500</v>
      </c>
      <c r="C8" s="5">
        <v>1222269.6099999994</v>
      </c>
      <c r="D8" s="4">
        <v>0.11688311688311688</v>
      </c>
      <c r="F8" s="5">
        <f t="shared" si="0"/>
        <v>642769.6099999994</v>
      </c>
    </row>
    <row r="9" spans="1:7" x14ac:dyDescent="0.35">
      <c r="A9" s="3" t="s">
        <v>1180</v>
      </c>
      <c r="B9" s="5">
        <v>3295300</v>
      </c>
      <c r="C9" s="5">
        <v>3176568.0599999991</v>
      </c>
      <c r="D9" s="4">
        <v>0.24292845257903495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3149-BD99-4EAB-B3EF-CC16F5D0B2A1}">
  <dimension ref="A1:AC604"/>
  <sheetViews>
    <sheetView tabSelected="1" topLeftCell="U1" workbookViewId="0">
      <pane ySplit="1" topLeftCell="A564" activePane="bottomLeft" state="frozen"/>
      <selection pane="bottomLeft" activeCell="V577" sqref="V577"/>
    </sheetView>
  </sheetViews>
  <sheetFormatPr defaultRowHeight="14.5" x14ac:dyDescent="0.35"/>
  <cols>
    <col min="1" max="1" width="24.90625" bestFit="1" customWidth="1"/>
    <col min="2" max="2" width="28.7265625" bestFit="1" customWidth="1"/>
    <col min="3" max="3" width="33.08984375" bestFit="1" customWidth="1"/>
    <col min="4" max="4" width="16.453125" customWidth="1"/>
    <col min="5" max="5" width="10.1796875" customWidth="1"/>
    <col min="6" max="6" width="16.453125" customWidth="1"/>
    <col min="7" max="7" width="19.81640625" bestFit="1" customWidth="1"/>
    <col min="8" max="8" width="16.7265625" bestFit="1" customWidth="1"/>
    <col min="9" max="9" width="16.08984375" style="5" bestFit="1" customWidth="1"/>
    <col min="10" max="10" width="22.7265625" bestFit="1" customWidth="1"/>
    <col min="11" max="11" width="13.36328125" bestFit="1" customWidth="1"/>
    <col min="12" max="12" width="22.1796875" customWidth="1"/>
    <col min="13" max="13" width="13.08984375" customWidth="1"/>
    <col min="14" max="14" width="22.1796875" customWidth="1"/>
    <col min="15" max="15" width="19.54296875" bestFit="1" customWidth="1"/>
    <col min="16" max="16" width="30.1796875" bestFit="1" customWidth="1"/>
    <col min="17" max="17" width="29.81640625" style="5" bestFit="1" customWidth="1"/>
    <col min="18" max="18" width="30" customWidth="1"/>
    <col min="19" max="19" width="29.453125" customWidth="1"/>
    <col min="20" max="20" width="34.08984375" customWidth="1"/>
    <col min="21" max="21" width="25.7265625" bestFit="1" customWidth="1"/>
    <col min="22" max="22" width="16.26953125" bestFit="1" customWidth="1"/>
    <col min="23" max="23" width="28.54296875" bestFit="1" customWidth="1"/>
    <col min="24" max="24" width="32.90625" customWidth="1"/>
    <col min="25" max="25" width="26.90625" bestFit="1" customWidth="1"/>
    <col min="26" max="26" width="10.36328125" style="5" bestFit="1" customWidth="1"/>
    <col min="27" max="27" width="9.90625" style="5" bestFit="1" customWidth="1"/>
  </cols>
  <sheetData>
    <row r="1" spans="1:29" x14ac:dyDescent="0.35">
      <c r="A1" t="s">
        <v>1191</v>
      </c>
      <c r="B1" t="s">
        <v>1192</v>
      </c>
      <c r="C1" t="s">
        <v>1193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s="5" t="s">
        <v>5</v>
      </c>
      <c r="J1" t="s">
        <v>1172</v>
      </c>
      <c r="K1" t="s">
        <v>6</v>
      </c>
      <c r="L1" t="s">
        <v>7</v>
      </c>
      <c r="M1" t="s">
        <v>8</v>
      </c>
      <c r="N1" t="s">
        <v>9</v>
      </c>
      <c r="O1" t="s">
        <v>1173</v>
      </c>
      <c r="P1" t="s">
        <v>1194</v>
      </c>
      <c r="Q1" s="5" t="s">
        <v>1195</v>
      </c>
      <c r="R1" t="s">
        <v>10</v>
      </c>
      <c r="S1" t="s">
        <v>11</v>
      </c>
      <c r="T1" t="s">
        <v>12</v>
      </c>
      <c r="U1" t="s">
        <v>1196</v>
      </c>
      <c r="V1" t="s">
        <v>1174</v>
      </c>
      <c r="W1" t="s">
        <v>1197</v>
      </c>
      <c r="X1" t="s">
        <v>13</v>
      </c>
      <c r="Y1" t="s">
        <v>1198</v>
      </c>
      <c r="Z1" s="5" t="s">
        <v>1188</v>
      </c>
      <c r="AA1" s="5" t="s">
        <v>1189</v>
      </c>
    </row>
    <row r="2" spans="1:29" x14ac:dyDescent="0.35">
      <c r="A2" t="s">
        <v>18</v>
      </c>
      <c r="B2" t="s">
        <v>19</v>
      </c>
      <c r="C2" s="1">
        <v>45299</v>
      </c>
      <c r="D2">
        <v>62</v>
      </c>
      <c r="E2" t="s">
        <v>14</v>
      </c>
      <c r="F2" t="s">
        <v>15</v>
      </c>
      <c r="G2" t="s">
        <v>16</v>
      </c>
      <c r="H2">
        <v>6</v>
      </c>
      <c r="I2" s="5">
        <v>31020</v>
      </c>
      <c r="J2" t="str" cm="1">
        <f t="array" ref="J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">
        <v>596</v>
      </c>
      <c r="L2" t="s">
        <v>17</v>
      </c>
      <c r="M2">
        <v>1</v>
      </c>
      <c r="N2">
        <v>892</v>
      </c>
      <c r="O2" t="str" cm="1">
        <f t="array" ref="O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" t="s">
        <v>20</v>
      </c>
      <c r="Q2" s="5">
        <v>16100</v>
      </c>
      <c r="R2">
        <v>36</v>
      </c>
      <c r="S2">
        <v>13.05</v>
      </c>
      <c r="T2">
        <v>542.86</v>
      </c>
      <c r="U2">
        <v>55.5</v>
      </c>
      <c r="V2" t="str" cm="1">
        <f t="array" ref="V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" t="s">
        <v>21</v>
      </c>
      <c r="X2">
        <v>0</v>
      </c>
      <c r="Y2">
        <v>0</v>
      </c>
      <c r="Z2" s="5">
        <f>IF(Merge1[[#This Row],[loan_applications.defaulted]]=0,Merge1[[#This Row],[loan_applications.loan_amount]]*(Merge1[[#This Row],[loan_applications.interest_rate]]/100)*(Merge1[[#This Row],[loan_applications.term_months]]/12),0)</f>
        <v>6303.1500000000005</v>
      </c>
      <c r="AA2" s="5">
        <f>IF(Merge1[[#This Row],[loan_applications.defaulted]]=1,Merge1[[#This Row],[loan_applications.loan_amount]],0)</f>
        <v>0</v>
      </c>
    </row>
    <row r="3" spans="1:29" x14ac:dyDescent="0.35">
      <c r="A3" t="s">
        <v>22</v>
      </c>
      <c r="B3" t="s">
        <v>19</v>
      </c>
      <c r="C3" s="1">
        <v>45517</v>
      </c>
      <c r="D3">
        <v>62</v>
      </c>
      <c r="E3" t="s">
        <v>14</v>
      </c>
      <c r="F3" t="s">
        <v>15</v>
      </c>
      <c r="G3" t="s">
        <v>16</v>
      </c>
      <c r="H3">
        <v>6</v>
      </c>
      <c r="I3" s="5">
        <v>31020</v>
      </c>
      <c r="J3" t="str" cm="1">
        <f t="array" ref="J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">
        <v>596</v>
      </c>
      <c r="L3" t="s">
        <v>17</v>
      </c>
      <c r="M3">
        <v>1</v>
      </c>
      <c r="N3">
        <v>892</v>
      </c>
      <c r="O3" t="str" cm="1">
        <f t="array" ref="O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" t="s">
        <v>23</v>
      </c>
      <c r="Q3" s="5">
        <v>5600</v>
      </c>
      <c r="R3">
        <v>48</v>
      </c>
      <c r="S3">
        <v>14.21</v>
      </c>
      <c r="T3">
        <v>153.62</v>
      </c>
      <c r="U3">
        <v>40.4</v>
      </c>
      <c r="V3" t="str" cm="1">
        <f t="array" ref="V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" t="s">
        <v>24</v>
      </c>
      <c r="X3">
        <v>138</v>
      </c>
      <c r="Y3">
        <v>1</v>
      </c>
      <c r="Z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" s="5">
        <f>IF(Merge1[[#This Row],[loan_applications.defaulted]]=1,Merge1[[#This Row],[loan_applications.loan_amount]],0)</f>
        <v>5600</v>
      </c>
    </row>
    <row r="4" spans="1:29" x14ac:dyDescent="0.35">
      <c r="A4" t="s">
        <v>28</v>
      </c>
      <c r="B4" t="s">
        <v>29</v>
      </c>
      <c r="C4" s="1">
        <v>45836</v>
      </c>
      <c r="D4">
        <v>24</v>
      </c>
      <c r="E4" t="s">
        <v>25</v>
      </c>
      <c r="F4" t="s">
        <v>15</v>
      </c>
      <c r="G4" t="s">
        <v>26</v>
      </c>
      <c r="H4">
        <v>4</v>
      </c>
      <c r="I4" s="5">
        <v>40188</v>
      </c>
      <c r="J4" t="str" cm="1">
        <f t="array" ref="J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">
        <v>543</v>
      </c>
      <c r="L4" t="s">
        <v>27</v>
      </c>
      <c r="M4">
        <v>2</v>
      </c>
      <c r="N4">
        <v>869</v>
      </c>
      <c r="O4" t="str" cm="1">
        <f t="array" ref="O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" t="s">
        <v>30</v>
      </c>
      <c r="Q4" s="5">
        <v>44700</v>
      </c>
      <c r="R4">
        <v>36</v>
      </c>
      <c r="S4">
        <v>12.37</v>
      </c>
      <c r="T4">
        <v>1492.59</v>
      </c>
      <c r="U4">
        <v>70.5</v>
      </c>
      <c r="V4" t="str" cm="1">
        <f t="array" ref="V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" t="s">
        <v>21</v>
      </c>
      <c r="X4">
        <v>0</v>
      </c>
      <c r="Y4">
        <v>0</v>
      </c>
      <c r="Z4" s="5">
        <f>IF(Merge1[[#This Row],[loan_applications.defaulted]]=0,Merge1[[#This Row],[loan_applications.loan_amount]]*(Merge1[[#This Row],[loan_applications.interest_rate]]/100)*(Merge1[[#This Row],[loan_applications.term_months]]/12),0)</f>
        <v>16588.169999999998</v>
      </c>
      <c r="AA4" s="5">
        <f>IF(Merge1[[#This Row],[loan_applications.defaulted]]=1,Merge1[[#This Row],[loan_applications.loan_amount]],0)</f>
        <v>0</v>
      </c>
    </row>
    <row r="5" spans="1:29" x14ac:dyDescent="0.35">
      <c r="A5" t="s">
        <v>35</v>
      </c>
      <c r="B5" t="s">
        <v>36</v>
      </c>
      <c r="C5" s="1">
        <v>45795</v>
      </c>
      <c r="D5">
        <v>50</v>
      </c>
      <c r="E5" t="s">
        <v>31</v>
      </c>
      <c r="F5" t="s">
        <v>32</v>
      </c>
      <c r="G5" t="s">
        <v>33</v>
      </c>
      <c r="H5">
        <v>22</v>
      </c>
      <c r="I5" s="5">
        <v>41014</v>
      </c>
      <c r="J5" t="str" cm="1">
        <f t="array" ref="J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">
        <v>611</v>
      </c>
      <c r="L5" t="s">
        <v>34</v>
      </c>
      <c r="M5">
        <v>0</v>
      </c>
      <c r="N5">
        <v>1806</v>
      </c>
      <c r="O5" t="str" cm="1">
        <f t="array" ref="O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" t="s">
        <v>37</v>
      </c>
      <c r="Q5" s="5">
        <v>9200</v>
      </c>
      <c r="R5">
        <v>48</v>
      </c>
      <c r="S5">
        <v>11.18</v>
      </c>
      <c r="T5">
        <v>238.58</v>
      </c>
      <c r="U5">
        <v>59.8</v>
      </c>
      <c r="V5" t="str" cm="1">
        <f t="array" ref="V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" t="s">
        <v>24</v>
      </c>
      <c r="X5">
        <v>34</v>
      </c>
      <c r="Y5">
        <v>1</v>
      </c>
      <c r="Z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" s="5">
        <f>IF(Merge1[[#This Row],[loan_applications.defaulted]]=1,Merge1[[#This Row],[loan_applications.loan_amount]],0)</f>
        <v>9200</v>
      </c>
      <c r="AC5" s="6" t="s">
        <v>1181</v>
      </c>
    </row>
    <row r="6" spans="1:29" x14ac:dyDescent="0.35">
      <c r="A6" t="s">
        <v>39</v>
      </c>
      <c r="B6" t="s">
        <v>40</v>
      </c>
      <c r="C6" s="1">
        <v>45740</v>
      </c>
      <c r="D6">
        <v>43</v>
      </c>
      <c r="E6" t="s">
        <v>38</v>
      </c>
      <c r="F6" t="s">
        <v>15</v>
      </c>
      <c r="G6" t="s">
        <v>26</v>
      </c>
      <c r="H6">
        <v>19</v>
      </c>
      <c r="I6" s="5">
        <v>35036</v>
      </c>
      <c r="J6" t="str" cm="1">
        <f t="array" ref="J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">
        <v>701</v>
      </c>
      <c r="L6" t="s">
        <v>34</v>
      </c>
      <c r="M6">
        <v>2</v>
      </c>
      <c r="N6">
        <v>928</v>
      </c>
      <c r="O6" t="str" cm="1">
        <f t="array" ref="O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6" t="s">
        <v>30</v>
      </c>
      <c r="Q6" s="5">
        <v>11200</v>
      </c>
      <c r="R6">
        <v>36</v>
      </c>
      <c r="S6">
        <v>9.66</v>
      </c>
      <c r="T6">
        <v>359.61</v>
      </c>
      <c r="U6">
        <v>44.1</v>
      </c>
      <c r="V6" t="str" cm="1">
        <f t="array" ref="V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6" t="s">
        <v>41</v>
      </c>
      <c r="X6">
        <v>0</v>
      </c>
      <c r="Y6">
        <v>0</v>
      </c>
      <c r="Z6" s="5">
        <f>IF(Merge1[[#This Row],[loan_applications.defaulted]]=0,Merge1[[#This Row],[loan_applications.loan_amount]]*(Merge1[[#This Row],[loan_applications.interest_rate]]/100)*(Merge1[[#This Row],[loan_applications.term_months]]/12),0)</f>
        <v>3245.76</v>
      </c>
      <c r="AA6" s="5">
        <f>IF(Merge1[[#This Row],[loan_applications.defaulted]]=1,Merge1[[#This Row],[loan_applications.loan_amount]],0)</f>
        <v>0</v>
      </c>
      <c r="AC6" s="6">
        <f>CORREL(K:K,Y:Y)</f>
        <v>-0.28639376908202713</v>
      </c>
    </row>
    <row r="7" spans="1:29" x14ac:dyDescent="0.35">
      <c r="A7" t="s">
        <v>43</v>
      </c>
      <c r="B7" t="s">
        <v>44</v>
      </c>
      <c r="C7" s="1">
        <v>45766</v>
      </c>
      <c r="D7">
        <v>46</v>
      </c>
      <c r="E7" t="s">
        <v>42</v>
      </c>
      <c r="F7" t="s">
        <v>15</v>
      </c>
      <c r="G7" t="s">
        <v>26</v>
      </c>
      <c r="H7">
        <v>18</v>
      </c>
      <c r="I7" s="5">
        <v>44528</v>
      </c>
      <c r="J7" t="str" cm="1">
        <f t="array" ref="J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7">
        <v>715</v>
      </c>
      <c r="L7" t="s">
        <v>27</v>
      </c>
      <c r="M7">
        <v>0</v>
      </c>
      <c r="N7">
        <v>608</v>
      </c>
      <c r="O7" t="str" cm="1">
        <f t="array" ref="O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7" t="s">
        <v>45</v>
      </c>
      <c r="Q7" s="5">
        <v>28600</v>
      </c>
      <c r="R7">
        <v>48</v>
      </c>
      <c r="S7">
        <v>13.07</v>
      </c>
      <c r="T7">
        <v>768.26</v>
      </c>
      <c r="U7">
        <v>37.1</v>
      </c>
      <c r="V7" t="str" cm="1">
        <f t="array" ref="V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7" t="s">
        <v>41</v>
      </c>
      <c r="X7">
        <v>0</v>
      </c>
      <c r="Y7">
        <v>0</v>
      </c>
      <c r="Z7" s="5">
        <f>IF(Merge1[[#This Row],[loan_applications.defaulted]]=0,Merge1[[#This Row],[loan_applications.loan_amount]]*(Merge1[[#This Row],[loan_applications.interest_rate]]/100)*(Merge1[[#This Row],[loan_applications.term_months]]/12),0)</f>
        <v>14952.080000000002</v>
      </c>
      <c r="AA7" s="5">
        <f>IF(Merge1[[#This Row],[loan_applications.defaulted]]=1,Merge1[[#This Row],[loan_applications.loan_amount]],0)</f>
        <v>0</v>
      </c>
      <c r="AC7" s="6"/>
    </row>
    <row r="8" spans="1:29" x14ac:dyDescent="0.35">
      <c r="A8" t="s">
        <v>48</v>
      </c>
      <c r="B8" t="s">
        <v>49</v>
      </c>
      <c r="C8" s="1">
        <v>45477</v>
      </c>
      <c r="D8">
        <v>40</v>
      </c>
      <c r="E8" t="s">
        <v>46</v>
      </c>
      <c r="F8" t="s">
        <v>47</v>
      </c>
      <c r="G8" t="s">
        <v>33</v>
      </c>
      <c r="H8">
        <v>8</v>
      </c>
      <c r="I8" s="5">
        <v>157047</v>
      </c>
      <c r="J8" t="str" cm="1">
        <f t="array" ref="J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8">
        <v>749</v>
      </c>
      <c r="L8" t="s">
        <v>34</v>
      </c>
      <c r="M8">
        <v>1</v>
      </c>
      <c r="N8">
        <v>3076</v>
      </c>
      <c r="O8" t="str" cm="1">
        <f t="array" ref="O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8" t="s">
        <v>50</v>
      </c>
      <c r="Q8" s="5">
        <v>39200</v>
      </c>
      <c r="R8">
        <v>12</v>
      </c>
      <c r="S8">
        <v>10.23</v>
      </c>
      <c r="T8">
        <v>3450.5</v>
      </c>
      <c r="U8">
        <v>49.9</v>
      </c>
      <c r="V8" t="str" cm="1">
        <f t="array" ref="V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8" t="s">
        <v>21</v>
      </c>
      <c r="X8">
        <v>0</v>
      </c>
      <c r="Y8">
        <v>0</v>
      </c>
      <c r="Z8" s="5">
        <f>IF(Merge1[[#This Row],[loan_applications.defaulted]]=0,Merge1[[#This Row],[loan_applications.loan_amount]]*(Merge1[[#This Row],[loan_applications.interest_rate]]/100)*(Merge1[[#This Row],[loan_applications.term_months]]/12),0)</f>
        <v>4010.16</v>
      </c>
      <c r="AA8" s="5">
        <f>IF(Merge1[[#This Row],[loan_applications.defaulted]]=1,Merge1[[#This Row],[loan_applications.loan_amount]],0)</f>
        <v>0</v>
      </c>
      <c r="AC8" s="6" t="s">
        <v>1211</v>
      </c>
    </row>
    <row r="9" spans="1:29" x14ac:dyDescent="0.35">
      <c r="A9" t="s">
        <v>52</v>
      </c>
      <c r="B9" t="s">
        <v>53</v>
      </c>
      <c r="C9" s="1">
        <v>45745</v>
      </c>
      <c r="D9">
        <v>35</v>
      </c>
      <c r="E9" t="s">
        <v>51</v>
      </c>
      <c r="F9" t="s">
        <v>32</v>
      </c>
      <c r="G9" t="s">
        <v>16</v>
      </c>
      <c r="H9">
        <v>5</v>
      </c>
      <c r="I9" s="5">
        <v>84210</v>
      </c>
      <c r="J9" t="str" cm="1">
        <f t="array" ref="J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9">
        <v>576</v>
      </c>
      <c r="L9" t="s">
        <v>34</v>
      </c>
      <c r="M9">
        <v>0</v>
      </c>
      <c r="N9">
        <v>1682</v>
      </c>
      <c r="O9" t="str" cm="1">
        <f t="array" ref="O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9" t="s">
        <v>54</v>
      </c>
      <c r="Q9" s="5">
        <v>36300</v>
      </c>
      <c r="R9">
        <v>48</v>
      </c>
      <c r="S9">
        <v>14.26</v>
      </c>
      <c r="T9">
        <v>996.69</v>
      </c>
      <c r="U9">
        <v>38.200000000000003</v>
      </c>
      <c r="V9" t="str" cm="1">
        <f t="array" ref="V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9" t="s">
        <v>24</v>
      </c>
      <c r="X9">
        <v>38</v>
      </c>
      <c r="Y9">
        <v>1</v>
      </c>
      <c r="Z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9" s="5">
        <f>IF(Merge1[[#This Row],[loan_applications.defaulted]]=1,Merge1[[#This Row],[loan_applications.loan_amount]],0)</f>
        <v>36300</v>
      </c>
      <c r="AC9">
        <f>CORREL(S:S,Y:Y)</f>
        <v>0.19893008328871267</v>
      </c>
    </row>
    <row r="10" spans="1:29" x14ac:dyDescent="0.35">
      <c r="A10" t="s">
        <v>55</v>
      </c>
      <c r="B10" t="s">
        <v>53</v>
      </c>
      <c r="C10" s="1">
        <v>45505</v>
      </c>
      <c r="D10">
        <v>35</v>
      </c>
      <c r="E10" t="s">
        <v>51</v>
      </c>
      <c r="F10" t="s">
        <v>32</v>
      </c>
      <c r="G10" t="s">
        <v>16</v>
      </c>
      <c r="H10">
        <v>5</v>
      </c>
      <c r="I10" s="5">
        <v>84210</v>
      </c>
      <c r="J10" t="str" cm="1">
        <f t="array" ref="J1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0">
        <v>576</v>
      </c>
      <c r="L10" t="s">
        <v>34</v>
      </c>
      <c r="M10">
        <v>0</v>
      </c>
      <c r="N10">
        <v>1682</v>
      </c>
      <c r="O10" t="str" cm="1">
        <f t="array" ref="O1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0" t="s">
        <v>56</v>
      </c>
      <c r="Q10" s="5">
        <v>39000</v>
      </c>
      <c r="R10">
        <v>60</v>
      </c>
      <c r="S10">
        <v>13.73</v>
      </c>
      <c r="T10">
        <v>902.01</v>
      </c>
      <c r="U10">
        <v>36.799999999999997</v>
      </c>
      <c r="V10" t="str" cm="1">
        <f t="array" ref="V1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0" t="s">
        <v>41</v>
      </c>
      <c r="X10">
        <v>0</v>
      </c>
      <c r="Y10">
        <v>0</v>
      </c>
      <c r="Z10" s="5">
        <f>IF(Merge1[[#This Row],[loan_applications.defaulted]]=0,Merge1[[#This Row],[loan_applications.loan_amount]]*(Merge1[[#This Row],[loan_applications.interest_rate]]/100)*(Merge1[[#This Row],[loan_applications.term_months]]/12),0)</f>
        <v>26773.5</v>
      </c>
      <c r="AA10" s="5">
        <f>IF(Merge1[[#This Row],[loan_applications.defaulted]]=1,Merge1[[#This Row],[loan_applications.loan_amount]],0)</f>
        <v>0</v>
      </c>
    </row>
    <row r="11" spans="1:29" x14ac:dyDescent="0.35">
      <c r="A11" t="s">
        <v>58</v>
      </c>
      <c r="B11" t="s">
        <v>59</v>
      </c>
      <c r="C11" s="1">
        <v>45597</v>
      </c>
      <c r="D11">
        <v>62</v>
      </c>
      <c r="E11" t="s">
        <v>57</v>
      </c>
      <c r="F11" t="s">
        <v>32</v>
      </c>
      <c r="G11" t="s">
        <v>26</v>
      </c>
      <c r="H11">
        <v>14</v>
      </c>
      <c r="I11" s="5">
        <v>61289</v>
      </c>
      <c r="J11" t="str" cm="1">
        <f t="array" ref="J1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1">
        <v>563</v>
      </c>
      <c r="L11" t="s">
        <v>17</v>
      </c>
      <c r="M11">
        <v>1</v>
      </c>
      <c r="N11">
        <v>939</v>
      </c>
      <c r="O11" t="str" cm="1">
        <f t="array" ref="O1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1" t="s">
        <v>60</v>
      </c>
      <c r="Q11" s="5">
        <v>28400</v>
      </c>
      <c r="R11">
        <v>12</v>
      </c>
      <c r="S11">
        <v>11.88</v>
      </c>
      <c r="T11">
        <v>2521.71</v>
      </c>
      <c r="U11">
        <v>67.8</v>
      </c>
      <c r="V11" t="str" cm="1">
        <f t="array" ref="V1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1" t="s">
        <v>24</v>
      </c>
      <c r="X11">
        <v>43</v>
      </c>
      <c r="Y11">
        <v>1</v>
      </c>
      <c r="Z1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1" s="5">
        <f>IF(Merge1[[#This Row],[loan_applications.defaulted]]=1,Merge1[[#This Row],[loan_applications.loan_amount]],0)</f>
        <v>28400</v>
      </c>
      <c r="AC11" t="s">
        <v>1210</v>
      </c>
    </row>
    <row r="12" spans="1:29" x14ac:dyDescent="0.35">
      <c r="A12" t="s">
        <v>64</v>
      </c>
      <c r="B12" t="s">
        <v>65</v>
      </c>
      <c r="C12" s="1">
        <v>45463</v>
      </c>
      <c r="D12">
        <v>35</v>
      </c>
      <c r="E12" t="s">
        <v>61</v>
      </c>
      <c r="F12" t="s">
        <v>62</v>
      </c>
      <c r="G12" t="s">
        <v>63</v>
      </c>
      <c r="H12">
        <v>15</v>
      </c>
      <c r="I12" s="5">
        <v>63908</v>
      </c>
      <c r="J12" t="str" cm="1">
        <f t="array" ref="J1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2">
        <v>643</v>
      </c>
      <c r="L12" t="s">
        <v>34</v>
      </c>
      <c r="M12">
        <v>2</v>
      </c>
      <c r="N12">
        <v>646</v>
      </c>
      <c r="O12" t="str" cm="1">
        <f t="array" ref="O1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2" t="s">
        <v>56</v>
      </c>
      <c r="Q12" s="5">
        <v>13300</v>
      </c>
      <c r="R12">
        <v>48</v>
      </c>
      <c r="S12">
        <v>10.91</v>
      </c>
      <c r="T12">
        <v>343.16</v>
      </c>
      <c r="U12">
        <v>18.600000000000001</v>
      </c>
      <c r="V12" t="str" cm="1">
        <f t="array" ref="V1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2" t="s">
        <v>41</v>
      </c>
      <c r="X12">
        <v>0</v>
      </c>
      <c r="Y12">
        <v>0</v>
      </c>
      <c r="Z12" s="5">
        <f>IF(Merge1[[#This Row],[loan_applications.defaulted]]=0,Merge1[[#This Row],[loan_applications.loan_amount]]*(Merge1[[#This Row],[loan_applications.interest_rate]]/100)*(Merge1[[#This Row],[loan_applications.term_months]]/12),0)</f>
        <v>5804.12</v>
      </c>
      <c r="AA12" s="5">
        <f>IF(Merge1[[#This Row],[loan_applications.defaulted]]=1,Merge1[[#This Row],[loan_applications.loan_amount]],0)</f>
        <v>0</v>
      </c>
      <c r="AC12">
        <f>CORREL(U:U,Y:Y)</f>
        <v>0.19245414949940781</v>
      </c>
    </row>
    <row r="13" spans="1:29" x14ac:dyDescent="0.35">
      <c r="A13" t="s">
        <v>66</v>
      </c>
      <c r="B13" t="s">
        <v>65</v>
      </c>
      <c r="C13" s="1">
        <v>45450</v>
      </c>
      <c r="D13">
        <v>35</v>
      </c>
      <c r="E13" t="s">
        <v>61</v>
      </c>
      <c r="F13" t="s">
        <v>62</v>
      </c>
      <c r="G13" t="s">
        <v>63</v>
      </c>
      <c r="H13">
        <v>15</v>
      </c>
      <c r="I13" s="5">
        <v>63908</v>
      </c>
      <c r="J13" t="str" cm="1">
        <f t="array" ref="J1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3">
        <v>643</v>
      </c>
      <c r="L13" t="s">
        <v>34</v>
      </c>
      <c r="M13">
        <v>2</v>
      </c>
      <c r="N13">
        <v>646</v>
      </c>
      <c r="O13" t="str" cm="1">
        <f t="array" ref="O1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3" t="s">
        <v>56</v>
      </c>
      <c r="Q13" s="5">
        <v>2700</v>
      </c>
      <c r="R13">
        <v>48</v>
      </c>
      <c r="S13">
        <v>12.73</v>
      </c>
      <c r="T13">
        <v>72.069999999999993</v>
      </c>
      <c r="U13">
        <v>13.5</v>
      </c>
      <c r="V13" t="str" cm="1">
        <f t="array" ref="V1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3" t="s">
        <v>41</v>
      </c>
      <c r="X13">
        <v>0</v>
      </c>
      <c r="Y13">
        <v>0</v>
      </c>
      <c r="Z13" s="5">
        <f>IF(Merge1[[#This Row],[loan_applications.defaulted]]=0,Merge1[[#This Row],[loan_applications.loan_amount]]*(Merge1[[#This Row],[loan_applications.interest_rate]]/100)*(Merge1[[#This Row],[loan_applications.term_months]]/12),0)</f>
        <v>1374.84</v>
      </c>
      <c r="AA13" s="5">
        <f>IF(Merge1[[#This Row],[loan_applications.defaulted]]=1,Merge1[[#This Row],[loan_applications.loan_amount]],0)</f>
        <v>0</v>
      </c>
    </row>
    <row r="14" spans="1:29" x14ac:dyDescent="0.35">
      <c r="A14" t="s">
        <v>69</v>
      </c>
      <c r="B14" t="s">
        <v>70</v>
      </c>
      <c r="C14" s="1">
        <v>45449</v>
      </c>
      <c r="D14">
        <v>30</v>
      </c>
      <c r="E14" t="s">
        <v>67</v>
      </c>
      <c r="F14" t="s">
        <v>68</v>
      </c>
      <c r="G14" t="s">
        <v>63</v>
      </c>
      <c r="H14">
        <v>6</v>
      </c>
      <c r="I14" s="5">
        <v>22845</v>
      </c>
      <c r="J14" t="str" cm="1">
        <f t="array" ref="J1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4">
        <v>824</v>
      </c>
      <c r="L14" t="s">
        <v>17</v>
      </c>
      <c r="M14">
        <v>1</v>
      </c>
      <c r="N14">
        <v>1044</v>
      </c>
      <c r="O14" t="str" cm="1">
        <f t="array" ref="O1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4" t="s">
        <v>71</v>
      </c>
      <c r="Q14" s="5">
        <v>15700</v>
      </c>
      <c r="R14">
        <v>12</v>
      </c>
      <c r="S14">
        <v>6.57</v>
      </c>
      <c r="T14">
        <v>1355.36</v>
      </c>
      <c r="U14">
        <v>126</v>
      </c>
      <c r="V14" t="str" cm="1">
        <f t="array" ref="V1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4" t="s">
        <v>41</v>
      </c>
      <c r="X14">
        <v>0</v>
      </c>
      <c r="Y14">
        <v>0</v>
      </c>
      <c r="Z14" s="5">
        <f>IF(Merge1[[#This Row],[loan_applications.defaulted]]=0,Merge1[[#This Row],[loan_applications.loan_amount]]*(Merge1[[#This Row],[loan_applications.interest_rate]]/100)*(Merge1[[#This Row],[loan_applications.term_months]]/12),0)</f>
        <v>1031.4900000000002</v>
      </c>
      <c r="AA14" s="5">
        <f>IF(Merge1[[#This Row],[loan_applications.defaulted]]=1,Merge1[[#This Row],[loan_applications.loan_amount]],0)</f>
        <v>0</v>
      </c>
      <c r="AC14" t="s">
        <v>1212</v>
      </c>
    </row>
    <row r="15" spans="1:29" x14ac:dyDescent="0.35">
      <c r="A15" t="s">
        <v>72</v>
      </c>
      <c r="B15" t="s">
        <v>73</v>
      </c>
      <c r="C15" s="1">
        <v>45313</v>
      </c>
      <c r="D15">
        <v>30</v>
      </c>
      <c r="E15" t="s">
        <v>57</v>
      </c>
      <c r="F15" t="s">
        <v>32</v>
      </c>
      <c r="G15" t="s">
        <v>26</v>
      </c>
      <c r="H15">
        <v>2</v>
      </c>
      <c r="I15" s="5">
        <v>43606</v>
      </c>
      <c r="J15" t="str" cm="1">
        <f t="array" ref="J1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5">
        <v>586</v>
      </c>
      <c r="L15" t="s">
        <v>34</v>
      </c>
      <c r="M15">
        <v>2</v>
      </c>
      <c r="N15">
        <v>1265</v>
      </c>
      <c r="O15" t="str" cm="1">
        <f t="array" ref="O1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5" t="s">
        <v>30</v>
      </c>
      <c r="Q15" s="5">
        <v>38300</v>
      </c>
      <c r="R15">
        <v>48</v>
      </c>
      <c r="S15">
        <v>13.9</v>
      </c>
      <c r="T15">
        <v>1044.68</v>
      </c>
      <c r="U15">
        <v>63.6</v>
      </c>
      <c r="V15" t="str" cm="1">
        <f t="array" ref="V1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5" t="s">
        <v>41</v>
      </c>
      <c r="X15">
        <v>0</v>
      </c>
      <c r="Y15">
        <v>0</v>
      </c>
      <c r="Z15" s="5">
        <f>IF(Merge1[[#This Row],[loan_applications.defaulted]]=0,Merge1[[#This Row],[loan_applications.loan_amount]]*(Merge1[[#This Row],[loan_applications.interest_rate]]/100)*(Merge1[[#This Row],[loan_applications.term_months]]/12),0)</f>
        <v>21294.800000000003</v>
      </c>
      <c r="AA15" s="5">
        <f>IF(Merge1[[#This Row],[loan_applications.defaulted]]=1,Merge1[[#This Row],[loan_applications.loan_amount]],0)</f>
        <v>0</v>
      </c>
      <c r="AC15">
        <f>CORREL(Q:Q,Y:Y)</f>
        <v>1.8116427294644129E-2</v>
      </c>
    </row>
    <row r="16" spans="1:29" x14ac:dyDescent="0.35">
      <c r="A16" t="s">
        <v>76</v>
      </c>
      <c r="B16" t="s">
        <v>77</v>
      </c>
      <c r="C16" s="1">
        <v>45486</v>
      </c>
      <c r="D16">
        <v>46</v>
      </c>
      <c r="E16" t="s">
        <v>74</v>
      </c>
      <c r="F16" t="s">
        <v>32</v>
      </c>
      <c r="G16" t="s">
        <v>75</v>
      </c>
      <c r="H16">
        <v>0</v>
      </c>
      <c r="I16" s="5">
        <v>44614</v>
      </c>
      <c r="J16" t="str" cm="1">
        <f t="array" ref="J1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6">
        <v>813</v>
      </c>
      <c r="L16" t="s">
        <v>17</v>
      </c>
      <c r="M16">
        <v>2</v>
      </c>
      <c r="N16">
        <v>1184</v>
      </c>
      <c r="O16" t="str" cm="1">
        <f t="array" ref="O1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6" t="s">
        <v>20</v>
      </c>
      <c r="Q16" s="5">
        <v>28800</v>
      </c>
      <c r="R16">
        <v>60</v>
      </c>
      <c r="S16">
        <v>9.94</v>
      </c>
      <c r="T16">
        <v>611.05999999999995</v>
      </c>
      <c r="U16">
        <v>48.3</v>
      </c>
      <c r="V16" t="str" cm="1">
        <f t="array" ref="V1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6" t="s">
        <v>41</v>
      </c>
      <c r="X16">
        <v>0</v>
      </c>
      <c r="Y16">
        <v>0</v>
      </c>
      <c r="Z16" s="5">
        <f>IF(Merge1[[#This Row],[loan_applications.defaulted]]=0,Merge1[[#This Row],[loan_applications.loan_amount]]*(Merge1[[#This Row],[loan_applications.interest_rate]]/100)*(Merge1[[#This Row],[loan_applications.term_months]]/12),0)</f>
        <v>14313.599999999999</v>
      </c>
      <c r="AA16" s="5">
        <f>IF(Merge1[[#This Row],[loan_applications.defaulted]]=1,Merge1[[#This Row],[loan_applications.loan_amount]],0)</f>
        <v>0</v>
      </c>
    </row>
    <row r="17" spans="1:29" x14ac:dyDescent="0.35">
      <c r="A17" t="s">
        <v>78</v>
      </c>
      <c r="B17" t="s">
        <v>77</v>
      </c>
      <c r="C17" s="1">
        <v>45835</v>
      </c>
      <c r="D17">
        <v>46</v>
      </c>
      <c r="E17" t="s">
        <v>74</v>
      </c>
      <c r="F17" t="s">
        <v>32</v>
      </c>
      <c r="G17" t="s">
        <v>75</v>
      </c>
      <c r="H17">
        <v>0</v>
      </c>
      <c r="I17" s="5">
        <v>44614</v>
      </c>
      <c r="J17" t="str" cm="1">
        <f t="array" ref="J1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7">
        <v>813</v>
      </c>
      <c r="L17" t="s">
        <v>17</v>
      </c>
      <c r="M17">
        <v>2</v>
      </c>
      <c r="N17">
        <v>1184</v>
      </c>
      <c r="O17" t="str" cm="1">
        <f t="array" ref="O1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7" t="s">
        <v>20</v>
      </c>
      <c r="Q17" s="5">
        <v>23700</v>
      </c>
      <c r="R17">
        <v>60</v>
      </c>
      <c r="S17">
        <v>7.25</v>
      </c>
      <c r="T17">
        <v>472.09</v>
      </c>
      <c r="U17">
        <v>44.5</v>
      </c>
      <c r="V17" t="str" cm="1">
        <f t="array" ref="V1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7" t="s">
        <v>24</v>
      </c>
      <c r="X17">
        <v>105</v>
      </c>
      <c r="Y17">
        <v>1</v>
      </c>
      <c r="Z1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7" s="5">
        <f>IF(Merge1[[#This Row],[loan_applications.defaulted]]=1,Merge1[[#This Row],[loan_applications.loan_amount]],0)</f>
        <v>23700</v>
      </c>
    </row>
    <row r="18" spans="1:29" x14ac:dyDescent="0.35">
      <c r="A18" t="s">
        <v>80</v>
      </c>
      <c r="B18" t="s">
        <v>81</v>
      </c>
      <c r="C18" s="1">
        <v>45481</v>
      </c>
      <c r="D18">
        <v>39</v>
      </c>
      <c r="E18" t="s">
        <v>79</v>
      </c>
      <c r="F18" t="s">
        <v>62</v>
      </c>
      <c r="G18" t="s">
        <v>26</v>
      </c>
      <c r="H18">
        <v>14</v>
      </c>
      <c r="I18" s="5">
        <v>79782</v>
      </c>
      <c r="J18" t="str" cm="1">
        <f t="array" ref="J1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">
        <v>615</v>
      </c>
      <c r="L18" t="s">
        <v>27</v>
      </c>
      <c r="M18">
        <v>3</v>
      </c>
      <c r="N18">
        <v>1207</v>
      </c>
      <c r="O18" t="str" cm="1">
        <f t="array" ref="O1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8" t="s">
        <v>30</v>
      </c>
      <c r="Q18" s="5">
        <v>2000</v>
      </c>
      <c r="R18">
        <v>60</v>
      </c>
      <c r="S18">
        <v>11.65</v>
      </c>
      <c r="T18">
        <v>44.14</v>
      </c>
      <c r="U18">
        <v>18.8</v>
      </c>
      <c r="V18" t="str" cm="1">
        <f t="array" ref="V1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8" t="s">
        <v>41</v>
      </c>
      <c r="X18">
        <v>0</v>
      </c>
      <c r="Y18">
        <v>0</v>
      </c>
      <c r="Z18" s="5">
        <f>IF(Merge1[[#This Row],[loan_applications.defaulted]]=0,Merge1[[#This Row],[loan_applications.loan_amount]]*(Merge1[[#This Row],[loan_applications.interest_rate]]/100)*(Merge1[[#This Row],[loan_applications.term_months]]/12),0)</f>
        <v>1165</v>
      </c>
      <c r="AA18" s="5">
        <f>IF(Merge1[[#This Row],[loan_applications.defaulted]]=1,Merge1[[#This Row],[loan_applications.loan_amount]],0)</f>
        <v>0</v>
      </c>
      <c r="AC18" t="s">
        <v>1213</v>
      </c>
    </row>
    <row r="19" spans="1:29" x14ac:dyDescent="0.35">
      <c r="A19" t="s">
        <v>82</v>
      </c>
      <c r="B19" t="s">
        <v>81</v>
      </c>
      <c r="C19" s="1">
        <v>45486</v>
      </c>
      <c r="D19">
        <v>39</v>
      </c>
      <c r="E19" t="s">
        <v>79</v>
      </c>
      <c r="F19" t="s">
        <v>62</v>
      </c>
      <c r="G19" t="s">
        <v>26</v>
      </c>
      <c r="H19">
        <v>14</v>
      </c>
      <c r="I19" s="5">
        <v>79782</v>
      </c>
      <c r="J19" t="str" cm="1">
        <f t="array" ref="J1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9">
        <v>615</v>
      </c>
      <c r="L19" t="s">
        <v>27</v>
      </c>
      <c r="M19">
        <v>3</v>
      </c>
      <c r="N19">
        <v>1207</v>
      </c>
      <c r="O19" t="str" cm="1">
        <f t="array" ref="O1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9" t="s">
        <v>71</v>
      </c>
      <c r="Q19" s="5">
        <v>34300</v>
      </c>
      <c r="R19">
        <v>60</v>
      </c>
      <c r="S19">
        <v>13.85</v>
      </c>
      <c r="T19">
        <v>795.44</v>
      </c>
      <c r="U19">
        <v>30.1</v>
      </c>
      <c r="V19" t="str" cm="1">
        <f t="array" ref="V1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9" t="s">
        <v>41</v>
      </c>
      <c r="X19">
        <v>0</v>
      </c>
      <c r="Y19">
        <v>0</v>
      </c>
      <c r="Z19" s="5">
        <f>IF(Merge1[[#This Row],[loan_applications.defaulted]]=0,Merge1[[#This Row],[loan_applications.loan_amount]]*(Merge1[[#This Row],[loan_applications.interest_rate]]/100)*(Merge1[[#This Row],[loan_applications.term_months]]/12),0)</f>
        <v>23752.749999999996</v>
      </c>
      <c r="AA19" s="5">
        <f>IF(Merge1[[#This Row],[loan_applications.defaulted]]=1,Merge1[[#This Row],[loan_applications.loan_amount]],0)</f>
        <v>0</v>
      </c>
      <c r="AC19">
        <f>CORREL(I:I,Y:Y)</f>
        <v>-8.1545875103110177E-2</v>
      </c>
    </row>
    <row r="20" spans="1:29" x14ac:dyDescent="0.35">
      <c r="A20" t="s">
        <v>84</v>
      </c>
      <c r="B20" t="s">
        <v>85</v>
      </c>
      <c r="C20" s="1">
        <v>45360</v>
      </c>
      <c r="D20">
        <v>54</v>
      </c>
      <c r="E20" t="s">
        <v>83</v>
      </c>
      <c r="F20" t="s">
        <v>62</v>
      </c>
      <c r="G20" t="s">
        <v>26</v>
      </c>
      <c r="H20">
        <v>19</v>
      </c>
      <c r="I20" s="5">
        <v>63730</v>
      </c>
      <c r="J20" t="str" cm="1">
        <f t="array" ref="J2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">
        <v>850</v>
      </c>
      <c r="L20" t="s">
        <v>17</v>
      </c>
      <c r="M20">
        <v>2</v>
      </c>
      <c r="N20">
        <v>671</v>
      </c>
      <c r="O20" t="str" cm="1">
        <f t="array" ref="O2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0" t="s">
        <v>45</v>
      </c>
      <c r="Q20" s="5">
        <v>17500</v>
      </c>
      <c r="R20">
        <v>12</v>
      </c>
      <c r="S20">
        <v>8.4499999999999993</v>
      </c>
      <c r="T20">
        <v>1525.94</v>
      </c>
      <c r="U20">
        <v>41.4</v>
      </c>
      <c r="V20" t="str" cm="1">
        <f t="array" ref="V2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0" t="s">
        <v>24</v>
      </c>
      <c r="X20">
        <v>63</v>
      </c>
      <c r="Y20">
        <v>1</v>
      </c>
      <c r="Z2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0" s="5">
        <f>IF(Merge1[[#This Row],[loan_applications.defaulted]]=1,Merge1[[#This Row],[loan_applications.loan_amount]],0)</f>
        <v>17500</v>
      </c>
    </row>
    <row r="21" spans="1:29" x14ac:dyDescent="0.35">
      <c r="A21" t="s">
        <v>87</v>
      </c>
      <c r="B21" t="s">
        <v>88</v>
      </c>
      <c r="C21" s="1">
        <v>45689</v>
      </c>
      <c r="D21">
        <v>32</v>
      </c>
      <c r="E21" t="s">
        <v>86</v>
      </c>
      <c r="F21" t="s">
        <v>32</v>
      </c>
      <c r="G21" t="s">
        <v>16</v>
      </c>
      <c r="H21">
        <v>9</v>
      </c>
      <c r="I21" s="5">
        <v>74436</v>
      </c>
      <c r="J21" t="str" cm="1">
        <f t="array" ref="J2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1">
        <v>535</v>
      </c>
      <c r="L21" t="s">
        <v>34</v>
      </c>
      <c r="M21">
        <v>0</v>
      </c>
      <c r="N21">
        <v>1435</v>
      </c>
      <c r="O21" t="str" cm="1">
        <f t="array" ref="O2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1" t="s">
        <v>60</v>
      </c>
      <c r="Q21" s="5">
        <v>20600</v>
      </c>
      <c r="R21">
        <v>12</v>
      </c>
      <c r="S21">
        <v>11.24</v>
      </c>
      <c r="T21">
        <v>1822.97</v>
      </c>
      <c r="U21">
        <v>52.5</v>
      </c>
      <c r="V21" t="str" cm="1">
        <f t="array" ref="V2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1" t="s">
        <v>21</v>
      </c>
      <c r="X21">
        <v>0</v>
      </c>
      <c r="Y21">
        <v>0</v>
      </c>
      <c r="Z21" s="5">
        <f>IF(Merge1[[#This Row],[loan_applications.defaulted]]=0,Merge1[[#This Row],[loan_applications.loan_amount]]*(Merge1[[#This Row],[loan_applications.interest_rate]]/100)*(Merge1[[#This Row],[loan_applications.term_months]]/12),0)</f>
        <v>2315.44</v>
      </c>
      <c r="AA21" s="5">
        <f>IF(Merge1[[#This Row],[loan_applications.defaulted]]=1,Merge1[[#This Row],[loan_applications.loan_amount]],0)</f>
        <v>0</v>
      </c>
    </row>
    <row r="22" spans="1:29" x14ac:dyDescent="0.35">
      <c r="A22" t="s">
        <v>89</v>
      </c>
      <c r="B22" t="s">
        <v>90</v>
      </c>
      <c r="C22" s="1">
        <v>45505</v>
      </c>
      <c r="D22">
        <v>41</v>
      </c>
      <c r="E22" t="s">
        <v>46</v>
      </c>
      <c r="F22" t="s">
        <v>68</v>
      </c>
      <c r="G22" t="s">
        <v>26</v>
      </c>
      <c r="H22">
        <v>2</v>
      </c>
      <c r="I22" s="5">
        <v>55611</v>
      </c>
      <c r="J22" t="str" cm="1">
        <f t="array" ref="J2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2">
        <v>570</v>
      </c>
      <c r="L22" t="s">
        <v>17</v>
      </c>
      <c r="M22">
        <v>0</v>
      </c>
      <c r="N22">
        <v>1994</v>
      </c>
      <c r="O22" t="str" cm="1">
        <f t="array" ref="O2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2" t="s">
        <v>45</v>
      </c>
      <c r="Q22" s="5">
        <v>23100</v>
      </c>
      <c r="R22">
        <v>12</v>
      </c>
      <c r="S22">
        <v>15.15</v>
      </c>
      <c r="T22">
        <v>2086.6</v>
      </c>
      <c r="U22">
        <v>88.1</v>
      </c>
      <c r="V22" t="str" cm="1">
        <f t="array" ref="V2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" t="s">
        <v>91</v>
      </c>
      <c r="X22">
        <v>15</v>
      </c>
      <c r="Y22">
        <v>0</v>
      </c>
      <c r="Z22" s="5">
        <f>IF(Merge1[[#This Row],[loan_applications.defaulted]]=0,Merge1[[#This Row],[loan_applications.loan_amount]]*(Merge1[[#This Row],[loan_applications.interest_rate]]/100)*(Merge1[[#This Row],[loan_applications.term_months]]/12),0)</f>
        <v>3499.65</v>
      </c>
      <c r="AA22" s="5">
        <f>IF(Merge1[[#This Row],[loan_applications.defaulted]]=1,Merge1[[#This Row],[loan_applications.loan_amount]],0)</f>
        <v>0</v>
      </c>
    </row>
    <row r="23" spans="1:29" x14ac:dyDescent="0.35">
      <c r="A23" t="s">
        <v>93</v>
      </c>
      <c r="B23" t="s">
        <v>94</v>
      </c>
      <c r="C23" s="1">
        <v>45351</v>
      </c>
      <c r="D23">
        <v>30</v>
      </c>
      <c r="E23" t="s">
        <v>92</v>
      </c>
      <c r="F23" t="s">
        <v>15</v>
      </c>
      <c r="G23" t="s">
        <v>26</v>
      </c>
      <c r="H23">
        <v>8</v>
      </c>
      <c r="I23" s="5">
        <v>41753</v>
      </c>
      <c r="J23" t="str" cm="1">
        <f t="array" ref="J2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3">
        <v>665</v>
      </c>
      <c r="L23" t="s">
        <v>17</v>
      </c>
      <c r="M23">
        <v>4</v>
      </c>
      <c r="N23">
        <v>1790</v>
      </c>
      <c r="O23" t="str" cm="1">
        <f t="array" ref="O2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3" t="s">
        <v>60</v>
      </c>
      <c r="Q23" s="5">
        <v>23300</v>
      </c>
      <c r="R23">
        <v>48</v>
      </c>
      <c r="S23">
        <v>13.03</v>
      </c>
      <c r="T23">
        <v>625.42999999999995</v>
      </c>
      <c r="U23">
        <v>69.400000000000006</v>
      </c>
      <c r="V23" t="str" cm="1">
        <f t="array" ref="V2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3" t="s">
        <v>41</v>
      </c>
      <c r="X23">
        <v>0</v>
      </c>
      <c r="Y23">
        <v>0</v>
      </c>
      <c r="Z23" s="5">
        <f>IF(Merge1[[#This Row],[loan_applications.defaulted]]=0,Merge1[[#This Row],[loan_applications.loan_amount]]*(Merge1[[#This Row],[loan_applications.interest_rate]]/100)*(Merge1[[#This Row],[loan_applications.term_months]]/12),0)</f>
        <v>12143.96</v>
      </c>
      <c r="AA23" s="5">
        <f>IF(Merge1[[#This Row],[loan_applications.defaulted]]=1,Merge1[[#This Row],[loan_applications.loan_amount]],0)</f>
        <v>0</v>
      </c>
    </row>
    <row r="24" spans="1:29" x14ac:dyDescent="0.35">
      <c r="A24" t="s">
        <v>96</v>
      </c>
      <c r="B24" t="s">
        <v>97</v>
      </c>
      <c r="C24" s="1">
        <v>45528</v>
      </c>
      <c r="D24">
        <v>68</v>
      </c>
      <c r="E24" t="s">
        <v>95</v>
      </c>
      <c r="F24" t="s">
        <v>32</v>
      </c>
      <c r="G24" t="s">
        <v>16</v>
      </c>
      <c r="H24">
        <v>28</v>
      </c>
      <c r="I24" s="5">
        <v>66055</v>
      </c>
      <c r="J24" t="str" cm="1">
        <f t="array" ref="J2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">
        <v>726</v>
      </c>
      <c r="L24" t="s">
        <v>17</v>
      </c>
      <c r="M24">
        <v>0</v>
      </c>
      <c r="N24">
        <v>893</v>
      </c>
      <c r="O24" t="str" cm="1">
        <f t="array" ref="O2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4" t="s">
        <v>37</v>
      </c>
      <c r="Q24" s="5">
        <v>7200</v>
      </c>
      <c r="R24">
        <v>60</v>
      </c>
      <c r="S24">
        <v>8.39</v>
      </c>
      <c r="T24">
        <v>147.34</v>
      </c>
      <c r="U24">
        <v>18.899999999999999</v>
      </c>
      <c r="V24" t="str" cm="1">
        <f t="array" ref="V2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24" t="s">
        <v>41</v>
      </c>
      <c r="X24">
        <v>0</v>
      </c>
      <c r="Y24">
        <v>0</v>
      </c>
      <c r="Z24" s="5">
        <f>IF(Merge1[[#This Row],[loan_applications.defaulted]]=0,Merge1[[#This Row],[loan_applications.loan_amount]]*(Merge1[[#This Row],[loan_applications.interest_rate]]/100)*(Merge1[[#This Row],[loan_applications.term_months]]/12),0)</f>
        <v>3020.4</v>
      </c>
      <c r="AA24" s="5">
        <f>IF(Merge1[[#This Row],[loan_applications.defaulted]]=1,Merge1[[#This Row],[loan_applications.loan_amount]],0)</f>
        <v>0</v>
      </c>
    </row>
    <row r="25" spans="1:29" x14ac:dyDescent="0.35">
      <c r="A25" t="s">
        <v>98</v>
      </c>
      <c r="B25" t="s">
        <v>99</v>
      </c>
      <c r="C25" s="1">
        <v>45658</v>
      </c>
      <c r="D25">
        <v>43</v>
      </c>
      <c r="E25" t="s">
        <v>38</v>
      </c>
      <c r="F25" t="s">
        <v>15</v>
      </c>
      <c r="G25" t="s">
        <v>63</v>
      </c>
      <c r="H25">
        <v>2</v>
      </c>
      <c r="I25" s="5">
        <v>23712</v>
      </c>
      <c r="J25" t="str" cm="1">
        <f t="array" ref="J2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5">
        <v>528</v>
      </c>
      <c r="L25" t="s">
        <v>17</v>
      </c>
      <c r="M25">
        <v>0</v>
      </c>
      <c r="N25">
        <v>993</v>
      </c>
      <c r="O25" t="str" cm="1">
        <f t="array" ref="O2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5" t="s">
        <v>50</v>
      </c>
      <c r="Q25" s="5">
        <v>13700</v>
      </c>
      <c r="R25">
        <v>12</v>
      </c>
      <c r="S25">
        <v>15.03</v>
      </c>
      <c r="T25">
        <v>1236.73</v>
      </c>
      <c r="U25">
        <v>112.8</v>
      </c>
      <c r="V25" t="str" cm="1">
        <f t="array" ref="V2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5" t="s">
        <v>41</v>
      </c>
      <c r="X25">
        <v>0</v>
      </c>
      <c r="Y25">
        <v>0</v>
      </c>
      <c r="Z25" s="5">
        <f>IF(Merge1[[#This Row],[loan_applications.defaulted]]=0,Merge1[[#This Row],[loan_applications.loan_amount]]*(Merge1[[#This Row],[loan_applications.interest_rate]]/100)*(Merge1[[#This Row],[loan_applications.term_months]]/12),0)</f>
        <v>2059.1099999999997</v>
      </c>
      <c r="AA25" s="5">
        <f>IF(Merge1[[#This Row],[loan_applications.defaulted]]=1,Merge1[[#This Row],[loan_applications.loan_amount]],0)</f>
        <v>0</v>
      </c>
    </row>
    <row r="26" spans="1:29" x14ac:dyDescent="0.35">
      <c r="A26" t="s">
        <v>100</v>
      </c>
      <c r="B26" t="s">
        <v>101</v>
      </c>
      <c r="C26" s="1">
        <v>45745</v>
      </c>
      <c r="D26">
        <v>43</v>
      </c>
      <c r="E26" t="s">
        <v>61</v>
      </c>
      <c r="F26" t="s">
        <v>15</v>
      </c>
      <c r="G26" t="s">
        <v>26</v>
      </c>
      <c r="H26">
        <v>17</v>
      </c>
      <c r="I26" s="5">
        <v>45948</v>
      </c>
      <c r="J26" t="str" cm="1">
        <f t="array" ref="J2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6">
        <v>639</v>
      </c>
      <c r="L26" t="s">
        <v>27</v>
      </c>
      <c r="M26">
        <v>3</v>
      </c>
      <c r="N26">
        <v>1294</v>
      </c>
      <c r="O26" t="str" cm="1">
        <f t="array" ref="O2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6" t="s">
        <v>50</v>
      </c>
      <c r="Q26" s="5">
        <v>23300</v>
      </c>
      <c r="R26">
        <v>24</v>
      </c>
      <c r="S26">
        <v>12.02</v>
      </c>
      <c r="T26">
        <v>1097.03</v>
      </c>
      <c r="U26">
        <v>62.4</v>
      </c>
      <c r="V26" t="str" cm="1">
        <f t="array" ref="V2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6" t="s">
        <v>91</v>
      </c>
      <c r="X26">
        <v>15</v>
      </c>
      <c r="Y26">
        <v>0</v>
      </c>
      <c r="Z26" s="5">
        <f>IF(Merge1[[#This Row],[loan_applications.defaulted]]=0,Merge1[[#This Row],[loan_applications.loan_amount]]*(Merge1[[#This Row],[loan_applications.interest_rate]]/100)*(Merge1[[#This Row],[loan_applications.term_months]]/12),0)</f>
        <v>5601.32</v>
      </c>
      <c r="AA26" s="5">
        <f>IF(Merge1[[#This Row],[loan_applications.defaulted]]=1,Merge1[[#This Row],[loan_applications.loan_amount]],0)</f>
        <v>0</v>
      </c>
    </row>
    <row r="27" spans="1:29" x14ac:dyDescent="0.35">
      <c r="A27" t="s">
        <v>102</v>
      </c>
      <c r="B27" t="s">
        <v>103</v>
      </c>
      <c r="C27" s="1">
        <v>45511</v>
      </c>
      <c r="D27">
        <v>37</v>
      </c>
      <c r="E27" t="s">
        <v>92</v>
      </c>
      <c r="F27" t="s">
        <v>62</v>
      </c>
      <c r="G27" t="s">
        <v>33</v>
      </c>
      <c r="H27">
        <v>13</v>
      </c>
      <c r="I27" s="5">
        <v>70937</v>
      </c>
      <c r="J27" t="str" cm="1">
        <f t="array" ref="J2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">
        <v>584</v>
      </c>
      <c r="L27" t="s">
        <v>34</v>
      </c>
      <c r="M27">
        <v>1</v>
      </c>
      <c r="N27">
        <v>2450</v>
      </c>
      <c r="O27" t="str" cm="1">
        <f t="array" ref="O2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7" t="s">
        <v>45</v>
      </c>
      <c r="Q27" s="5">
        <v>32400</v>
      </c>
      <c r="R27">
        <v>36</v>
      </c>
      <c r="S27">
        <v>13.31</v>
      </c>
      <c r="T27">
        <v>1096.53</v>
      </c>
      <c r="U27">
        <v>60</v>
      </c>
      <c r="V27" t="str" cm="1">
        <f t="array" ref="V2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7" t="s">
        <v>24</v>
      </c>
      <c r="X27">
        <v>170</v>
      </c>
      <c r="Y27">
        <v>1</v>
      </c>
      <c r="Z2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7" s="5">
        <f>IF(Merge1[[#This Row],[loan_applications.defaulted]]=1,Merge1[[#This Row],[loan_applications.loan_amount]],0)</f>
        <v>32400</v>
      </c>
    </row>
    <row r="28" spans="1:29" x14ac:dyDescent="0.35">
      <c r="A28" t="s">
        <v>104</v>
      </c>
      <c r="B28" t="s">
        <v>103</v>
      </c>
      <c r="C28" s="1">
        <v>45327</v>
      </c>
      <c r="D28">
        <v>37</v>
      </c>
      <c r="E28" t="s">
        <v>92</v>
      </c>
      <c r="F28" t="s">
        <v>62</v>
      </c>
      <c r="G28" t="s">
        <v>33</v>
      </c>
      <c r="H28">
        <v>13</v>
      </c>
      <c r="I28" s="5">
        <v>70937</v>
      </c>
      <c r="J28" t="str" cm="1">
        <f t="array" ref="J2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8">
        <v>584</v>
      </c>
      <c r="L28" t="s">
        <v>34</v>
      </c>
      <c r="M28">
        <v>1</v>
      </c>
      <c r="N28">
        <v>2450</v>
      </c>
      <c r="O28" t="str" cm="1">
        <f t="array" ref="O2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8" t="s">
        <v>37</v>
      </c>
      <c r="Q28" s="5">
        <v>23700</v>
      </c>
      <c r="R28">
        <v>48</v>
      </c>
      <c r="S28">
        <v>10.27</v>
      </c>
      <c r="T28">
        <v>604.16999999999996</v>
      </c>
      <c r="U28">
        <v>51.7</v>
      </c>
      <c r="V28" t="str" cm="1">
        <f t="array" ref="V2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8" t="s">
        <v>41</v>
      </c>
      <c r="X28">
        <v>0</v>
      </c>
      <c r="Y28">
        <v>0</v>
      </c>
      <c r="Z28" s="5">
        <f>IF(Merge1[[#This Row],[loan_applications.defaulted]]=0,Merge1[[#This Row],[loan_applications.loan_amount]]*(Merge1[[#This Row],[loan_applications.interest_rate]]/100)*(Merge1[[#This Row],[loan_applications.term_months]]/12),0)</f>
        <v>9735.9599999999991</v>
      </c>
      <c r="AA28" s="5">
        <f>IF(Merge1[[#This Row],[loan_applications.defaulted]]=1,Merge1[[#This Row],[loan_applications.loan_amount]],0)</f>
        <v>0</v>
      </c>
    </row>
    <row r="29" spans="1:29" x14ac:dyDescent="0.35">
      <c r="A29" t="s">
        <v>106</v>
      </c>
      <c r="B29" t="s">
        <v>107</v>
      </c>
      <c r="C29" s="1">
        <v>45314</v>
      </c>
      <c r="D29">
        <v>65</v>
      </c>
      <c r="E29" t="s">
        <v>105</v>
      </c>
      <c r="F29" t="s">
        <v>32</v>
      </c>
      <c r="G29" t="s">
        <v>63</v>
      </c>
      <c r="H29">
        <v>6</v>
      </c>
      <c r="I29" s="5">
        <v>24456</v>
      </c>
      <c r="J29" t="str" cm="1">
        <f t="array" ref="J2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9">
        <v>698</v>
      </c>
      <c r="L29" t="s">
        <v>27</v>
      </c>
      <c r="M29">
        <v>1</v>
      </c>
      <c r="N29">
        <v>244</v>
      </c>
      <c r="O29" t="str" cm="1">
        <f t="array" ref="O2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9" t="s">
        <v>37</v>
      </c>
      <c r="Q29" s="5">
        <v>7400</v>
      </c>
      <c r="R29">
        <v>24</v>
      </c>
      <c r="S29">
        <v>12.65</v>
      </c>
      <c r="T29">
        <v>350.59</v>
      </c>
      <c r="U29">
        <v>29.2</v>
      </c>
      <c r="V29" t="str" cm="1">
        <f t="array" ref="V2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9" t="s">
        <v>91</v>
      </c>
      <c r="X29">
        <v>15</v>
      </c>
      <c r="Y29">
        <v>0</v>
      </c>
      <c r="Z29" s="5">
        <f>IF(Merge1[[#This Row],[loan_applications.defaulted]]=0,Merge1[[#This Row],[loan_applications.loan_amount]]*(Merge1[[#This Row],[loan_applications.interest_rate]]/100)*(Merge1[[#This Row],[loan_applications.term_months]]/12),0)</f>
        <v>1872.2</v>
      </c>
      <c r="AA29" s="5">
        <f>IF(Merge1[[#This Row],[loan_applications.defaulted]]=1,Merge1[[#This Row],[loan_applications.loan_amount]],0)</f>
        <v>0</v>
      </c>
    </row>
    <row r="30" spans="1:29" x14ac:dyDescent="0.35">
      <c r="A30" t="s">
        <v>108</v>
      </c>
      <c r="B30" t="s">
        <v>107</v>
      </c>
      <c r="C30" s="1">
        <v>45330</v>
      </c>
      <c r="D30">
        <v>65</v>
      </c>
      <c r="E30" t="s">
        <v>105</v>
      </c>
      <c r="F30" t="s">
        <v>32</v>
      </c>
      <c r="G30" t="s">
        <v>63</v>
      </c>
      <c r="H30">
        <v>6</v>
      </c>
      <c r="I30" s="5">
        <v>24456</v>
      </c>
      <c r="J30" t="str" cm="1">
        <f t="array" ref="J3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0">
        <v>698</v>
      </c>
      <c r="L30" t="s">
        <v>27</v>
      </c>
      <c r="M30">
        <v>1</v>
      </c>
      <c r="N30">
        <v>244</v>
      </c>
      <c r="O30" t="str" cm="1">
        <f t="array" ref="O3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0" t="s">
        <v>30</v>
      </c>
      <c r="Q30" s="5">
        <v>13600</v>
      </c>
      <c r="R30">
        <v>60</v>
      </c>
      <c r="S30">
        <v>9.14</v>
      </c>
      <c r="T30">
        <v>283.24</v>
      </c>
      <c r="U30">
        <v>25.9</v>
      </c>
      <c r="V30" t="str" cm="1">
        <f t="array" ref="V3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0" t="s">
        <v>41</v>
      </c>
      <c r="X30">
        <v>0</v>
      </c>
      <c r="Y30">
        <v>0</v>
      </c>
      <c r="Z30" s="5">
        <f>IF(Merge1[[#This Row],[loan_applications.defaulted]]=0,Merge1[[#This Row],[loan_applications.loan_amount]]*(Merge1[[#This Row],[loan_applications.interest_rate]]/100)*(Merge1[[#This Row],[loan_applications.term_months]]/12),0)</f>
        <v>6215.2000000000007</v>
      </c>
      <c r="AA30" s="5">
        <f>IF(Merge1[[#This Row],[loan_applications.defaulted]]=1,Merge1[[#This Row],[loan_applications.loan_amount]],0)</f>
        <v>0</v>
      </c>
    </row>
    <row r="31" spans="1:29" x14ac:dyDescent="0.35">
      <c r="A31" t="s">
        <v>110</v>
      </c>
      <c r="B31" t="s">
        <v>111</v>
      </c>
      <c r="C31" s="1">
        <v>45514</v>
      </c>
      <c r="D31">
        <v>33</v>
      </c>
      <c r="E31" t="s">
        <v>109</v>
      </c>
      <c r="F31" t="s">
        <v>68</v>
      </c>
      <c r="G31" t="s">
        <v>26</v>
      </c>
      <c r="H31">
        <v>12</v>
      </c>
      <c r="I31" s="5">
        <v>72054</v>
      </c>
      <c r="J31" t="str" cm="1">
        <f t="array" ref="J3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">
        <v>761</v>
      </c>
      <c r="L31" t="s">
        <v>17</v>
      </c>
      <c r="M31">
        <v>0</v>
      </c>
      <c r="N31">
        <v>2258</v>
      </c>
      <c r="O31" t="str" cm="1">
        <f t="array" ref="O3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1" t="s">
        <v>56</v>
      </c>
      <c r="Q31" s="5">
        <v>34200</v>
      </c>
      <c r="R31">
        <v>12</v>
      </c>
      <c r="S31">
        <v>10.17</v>
      </c>
      <c r="T31">
        <v>3009.43</v>
      </c>
      <c r="U31">
        <v>87.7</v>
      </c>
      <c r="V31" t="str" cm="1">
        <f t="array" ref="V3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1" t="s">
        <v>21</v>
      </c>
      <c r="X31">
        <v>0</v>
      </c>
      <c r="Y31">
        <v>0</v>
      </c>
      <c r="Z31" s="5">
        <f>IF(Merge1[[#This Row],[loan_applications.defaulted]]=0,Merge1[[#This Row],[loan_applications.loan_amount]]*(Merge1[[#This Row],[loan_applications.interest_rate]]/100)*(Merge1[[#This Row],[loan_applications.term_months]]/12),0)</f>
        <v>3478.14</v>
      </c>
      <c r="AA31" s="5">
        <f>IF(Merge1[[#This Row],[loan_applications.defaulted]]=1,Merge1[[#This Row],[loan_applications.loan_amount]],0)</f>
        <v>0</v>
      </c>
    </row>
    <row r="32" spans="1:29" x14ac:dyDescent="0.35">
      <c r="A32" t="s">
        <v>112</v>
      </c>
      <c r="B32" t="s">
        <v>111</v>
      </c>
      <c r="C32" s="1">
        <v>45389</v>
      </c>
      <c r="D32">
        <v>33</v>
      </c>
      <c r="E32" t="s">
        <v>109</v>
      </c>
      <c r="F32" t="s">
        <v>68</v>
      </c>
      <c r="G32" t="s">
        <v>26</v>
      </c>
      <c r="H32">
        <v>12</v>
      </c>
      <c r="I32" s="5">
        <v>72054</v>
      </c>
      <c r="J32" t="str" cm="1">
        <f t="array" ref="J3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2">
        <v>761</v>
      </c>
      <c r="L32" t="s">
        <v>17</v>
      </c>
      <c r="M32">
        <v>0</v>
      </c>
      <c r="N32">
        <v>2258</v>
      </c>
      <c r="O32" t="str" cm="1">
        <f t="array" ref="O3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" t="s">
        <v>50</v>
      </c>
      <c r="Q32" s="5">
        <v>45200</v>
      </c>
      <c r="R32">
        <v>60</v>
      </c>
      <c r="S32">
        <v>11.41</v>
      </c>
      <c r="T32">
        <v>992.02</v>
      </c>
      <c r="U32">
        <v>54.1</v>
      </c>
      <c r="V32" t="str" cm="1">
        <f t="array" ref="V3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2" t="s">
        <v>21</v>
      </c>
      <c r="X32">
        <v>0</v>
      </c>
      <c r="Y32">
        <v>0</v>
      </c>
      <c r="Z32" s="5">
        <f>IF(Merge1[[#This Row],[loan_applications.defaulted]]=0,Merge1[[#This Row],[loan_applications.loan_amount]]*(Merge1[[#This Row],[loan_applications.interest_rate]]/100)*(Merge1[[#This Row],[loan_applications.term_months]]/12),0)</f>
        <v>25786.600000000002</v>
      </c>
      <c r="AA32" s="5">
        <f>IF(Merge1[[#This Row],[loan_applications.defaulted]]=1,Merge1[[#This Row],[loan_applications.loan_amount]],0)</f>
        <v>0</v>
      </c>
    </row>
    <row r="33" spans="1:27" x14ac:dyDescent="0.35">
      <c r="A33" t="s">
        <v>114</v>
      </c>
      <c r="B33" t="s">
        <v>115</v>
      </c>
      <c r="C33" s="1">
        <v>45736</v>
      </c>
      <c r="D33">
        <v>56</v>
      </c>
      <c r="E33" t="s">
        <v>113</v>
      </c>
      <c r="F33" t="s">
        <v>62</v>
      </c>
      <c r="G33" t="s">
        <v>75</v>
      </c>
      <c r="H33">
        <v>10</v>
      </c>
      <c r="I33" s="5">
        <v>80449</v>
      </c>
      <c r="J33" t="str" cm="1">
        <f t="array" ref="J3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3">
        <v>661</v>
      </c>
      <c r="L33" t="s">
        <v>34</v>
      </c>
      <c r="M33">
        <v>0</v>
      </c>
      <c r="N33">
        <v>1679</v>
      </c>
      <c r="O33" t="str" cm="1">
        <f t="array" ref="O3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3" t="s">
        <v>54</v>
      </c>
      <c r="Q33" s="5">
        <v>46200</v>
      </c>
      <c r="R33">
        <v>36</v>
      </c>
      <c r="S33">
        <v>10.72</v>
      </c>
      <c r="T33">
        <v>1506.41</v>
      </c>
      <c r="U33">
        <v>47.5</v>
      </c>
      <c r="V33" t="str" cm="1">
        <f t="array" ref="V3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3" t="s">
        <v>91</v>
      </c>
      <c r="X33">
        <v>15</v>
      </c>
      <c r="Y33">
        <v>0</v>
      </c>
      <c r="Z33" s="5">
        <f>IF(Merge1[[#This Row],[loan_applications.defaulted]]=0,Merge1[[#This Row],[loan_applications.loan_amount]]*(Merge1[[#This Row],[loan_applications.interest_rate]]/100)*(Merge1[[#This Row],[loan_applications.term_months]]/12),0)</f>
        <v>14857.920000000002</v>
      </c>
      <c r="AA33" s="5">
        <f>IF(Merge1[[#This Row],[loan_applications.defaulted]]=1,Merge1[[#This Row],[loan_applications.loan_amount]],0)</f>
        <v>0</v>
      </c>
    </row>
    <row r="34" spans="1:27" x14ac:dyDescent="0.35">
      <c r="A34" t="s">
        <v>116</v>
      </c>
      <c r="B34" t="s">
        <v>117</v>
      </c>
      <c r="C34" s="1">
        <v>45828</v>
      </c>
      <c r="D34">
        <v>25</v>
      </c>
      <c r="E34" t="s">
        <v>79</v>
      </c>
      <c r="F34" t="s">
        <v>15</v>
      </c>
      <c r="G34" t="s">
        <v>26</v>
      </c>
      <c r="H34">
        <v>2</v>
      </c>
      <c r="I34" s="5">
        <v>36142</v>
      </c>
      <c r="J34" t="str" cm="1">
        <f t="array" ref="J3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4">
        <v>757</v>
      </c>
      <c r="L34" t="s">
        <v>34</v>
      </c>
      <c r="M34">
        <v>4</v>
      </c>
      <c r="N34">
        <v>987</v>
      </c>
      <c r="O34" t="str" cm="1">
        <f t="array" ref="O3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4" t="s">
        <v>71</v>
      </c>
      <c r="Q34" s="5">
        <v>32400</v>
      </c>
      <c r="R34">
        <v>48</v>
      </c>
      <c r="S34">
        <v>7.65</v>
      </c>
      <c r="T34">
        <v>785.67</v>
      </c>
      <c r="U34">
        <v>58.9</v>
      </c>
      <c r="V34" t="str" cm="1">
        <f t="array" ref="V3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4" t="s">
        <v>24</v>
      </c>
      <c r="X34">
        <v>168</v>
      </c>
      <c r="Y34">
        <v>1</v>
      </c>
      <c r="Z3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4" s="5">
        <f>IF(Merge1[[#This Row],[loan_applications.defaulted]]=1,Merge1[[#This Row],[loan_applications.loan_amount]],0)</f>
        <v>32400</v>
      </c>
    </row>
    <row r="35" spans="1:27" x14ac:dyDescent="0.35">
      <c r="A35" t="s">
        <v>119</v>
      </c>
      <c r="B35" t="s">
        <v>120</v>
      </c>
      <c r="C35" s="1">
        <v>45694</v>
      </c>
      <c r="D35">
        <v>67</v>
      </c>
      <c r="E35" t="s">
        <v>118</v>
      </c>
      <c r="F35" t="s">
        <v>32</v>
      </c>
      <c r="G35" t="s">
        <v>26</v>
      </c>
      <c r="H35">
        <v>34</v>
      </c>
      <c r="I35" s="5">
        <v>54489</v>
      </c>
      <c r="J35" t="str" cm="1">
        <f t="array" ref="J3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5">
        <v>559</v>
      </c>
      <c r="L35" t="s">
        <v>27</v>
      </c>
      <c r="M35">
        <v>0</v>
      </c>
      <c r="N35">
        <v>1553</v>
      </c>
      <c r="O35" t="str" cm="1">
        <f t="array" ref="O3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5" t="s">
        <v>45</v>
      </c>
      <c r="Q35" s="5">
        <v>12400</v>
      </c>
      <c r="R35">
        <v>12</v>
      </c>
      <c r="S35">
        <v>14.05</v>
      </c>
      <c r="T35">
        <v>1113.6500000000001</v>
      </c>
      <c r="U35">
        <v>58.7</v>
      </c>
      <c r="V35" t="str" cm="1">
        <f t="array" ref="V3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5" t="s">
        <v>41</v>
      </c>
      <c r="X35">
        <v>0</v>
      </c>
      <c r="Y35">
        <v>0</v>
      </c>
      <c r="Z35" s="5">
        <f>IF(Merge1[[#This Row],[loan_applications.defaulted]]=0,Merge1[[#This Row],[loan_applications.loan_amount]]*(Merge1[[#This Row],[loan_applications.interest_rate]]/100)*(Merge1[[#This Row],[loan_applications.term_months]]/12),0)</f>
        <v>1742.2000000000003</v>
      </c>
      <c r="AA35" s="5">
        <f>IF(Merge1[[#This Row],[loan_applications.defaulted]]=1,Merge1[[#This Row],[loan_applications.loan_amount]],0)</f>
        <v>0</v>
      </c>
    </row>
    <row r="36" spans="1:27" x14ac:dyDescent="0.35">
      <c r="A36" t="s">
        <v>121</v>
      </c>
      <c r="B36" t="s">
        <v>122</v>
      </c>
      <c r="C36" s="1">
        <v>45779</v>
      </c>
      <c r="D36">
        <v>54</v>
      </c>
      <c r="E36" t="s">
        <v>42</v>
      </c>
      <c r="F36" t="s">
        <v>62</v>
      </c>
      <c r="G36" t="s">
        <v>26</v>
      </c>
      <c r="H36">
        <v>5</v>
      </c>
      <c r="I36" s="5">
        <v>59480</v>
      </c>
      <c r="J36" t="str" cm="1">
        <f t="array" ref="J3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6">
        <v>790</v>
      </c>
      <c r="L36" t="s">
        <v>17</v>
      </c>
      <c r="M36">
        <v>2</v>
      </c>
      <c r="N36">
        <v>1921</v>
      </c>
      <c r="O36" t="str" cm="1">
        <f t="array" ref="O3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" t="s">
        <v>23</v>
      </c>
      <c r="Q36" s="5">
        <v>16400</v>
      </c>
      <c r="R36">
        <v>24</v>
      </c>
      <c r="S36">
        <v>8.51</v>
      </c>
      <c r="T36">
        <v>745.55</v>
      </c>
      <c r="U36">
        <v>53.8</v>
      </c>
      <c r="V36" t="str" cm="1">
        <f t="array" ref="V3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6" t="s">
        <v>41</v>
      </c>
      <c r="X36">
        <v>0</v>
      </c>
      <c r="Y36">
        <v>0</v>
      </c>
      <c r="Z36" s="5">
        <f>IF(Merge1[[#This Row],[loan_applications.defaulted]]=0,Merge1[[#This Row],[loan_applications.loan_amount]]*(Merge1[[#This Row],[loan_applications.interest_rate]]/100)*(Merge1[[#This Row],[loan_applications.term_months]]/12),0)</f>
        <v>2791.2799999999997</v>
      </c>
      <c r="AA36" s="5">
        <f>IF(Merge1[[#This Row],[loan_applications.defaulted]]=1,Merge1[[#This Row],[loan_applications.loan_amount]],0)</f>
        <v>0</v>
      </c>
    </row>
    <row r="37" spans="1:27" x14ac:dyDescent="0.35">
      <c r="A37" t="s">
        <v>123</v>
      </c>
      <c r="B37" t="s">
        <v>124</v>
      </c>
      <c r="C37" s="1">
        <v>45494</v>
      </c>
      <c r="D37">
        <v>37</v>
      </c>
      <c r="E37" t="s">
        <v>92</v>
      </c>
      <c r="F37" t="s">
        <v>32</v>
      </c>
      <c r="G37" t="s">
        <v>75</v>
      </c>
      <c r="H37">
        <v>1</v>
      </c>
      <c r="I37" s="5">
        <v>46167</v>
      </c>
      <c r="J37" t="str" cm="1">
        <f t="array" ref="J3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7">
        <v>826</v>
      </c>
      <c r="L37" t="s">
        <v>34</v>
      </c>
      <c r="M37">
        <v>2</v>
      </c>
      <c r="N37">
        <v>1279</v>
      </c>
      <c r="O37" t="str" cm="1">
        <f t="array" ref="O3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7" t="s">
        <v>30</v>
      </c>
      <c r="Q37" s="5">
        <v>27100</v>
      </c>
      <c r="R37">
        <v>24</v>
      </c>
      <c r="S37">
        <v>8.64</v>
      </c>
      <c r="T37">
        <v>1233.5899999999999</v>
      </c>
      <c r="U37">
        <v>65.3</v>
      </c>
      <c r="V37" t="str" cm="1">
        <f t="array" ref="V3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7" t="s">
        <v>41</v>
      </c>
      <c r="X37">
        <v>0</v>
      </c>
      <c r="Y37">
        <v>0</v>
      </c>
      <c r="Z37" s="5">
        <f>IF(Merge1[[#This Row],[loan_applications.defaulted]]=0,Merge1[[#This Row],[loan_applications.loan_amount]]*(Merge1[[#This Row],[loan_applications.interest_rate]]/100)*(Merge1[[#This Row],[loan_applications.term_months]]/12),0)</f>
        <v>4682.88</v>
      </c>
      <c r="AA37" s="5">
        <f>IF(Merge1[[#This Row],[loan_applications.defaulted]]=1,Merge1[[#This Row],[loan_applications.loan_amount]],0)</f>
        <v>0</v>
      </c>
    </row>
    <row r="38" spans="1:27" x14ac:dyDescent="0.35">
      <c r="A38" t="s">
        <v>126</v>
      </c>
      <c r="B38" t="s">
        <v>127</v>
      </c>
      <c r="C38" s="1">
        <v>45383</v>
      </c>
      <c r="D38">
        <v>42</v>
      </c>
      <c r="E38" t="s">
        <v>125</v>
      </c>
      <c r="F38" t="s">
        <v>62</v>
      </c>
      <c r="G38" t="s">
        <v>26</v>
      </c>
      <c r="H38">
        <v>8</v>
      </c>
      <c r="I38" s="5">
        <v>116049</v>
      </c>
      <c r="J38" t="str" cm="1">
        <f t="array" ref="J3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8">
        <v>667</v>
      </c>
      <c r="L38" t="s">
        <v>34</v>
      </c>
      <c r="M38">
        <v>2</v>
      </c>
      <c r="N38">
        <v>2694</v>
      </c>
      <c r="O38" t="str" cm="1">
        <f t="array" ref="O3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8" t="s">
        <v>30</v>
      </c>
      <c r="Q38" s="5">
        <v>5400</v>
      </c>
      <c r="R38">
        <v>48</v>
      </c>
      <c r="S38">
        <v>10.5</v>
      </c>
      <c r="T38">
        <v>138.26</v>
      </c>
      <c r="U38">
        <v>29.3</v>
      </c>
      <c r="V38" t="str" cm="1">
        <f t="array" ref="V3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8" t="s">
        <v>24</v>
      </c>
      <c r="X38">
        <v>135</v>
      </c>
      <c r="Y38">
        <v>1</v>
      </c>
      <c r="Z3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8" s="5">
        <f>IF(Merge1[[#This Row],[loan_applications.defaulted]]=1,Merge1[[#This Row],[loan_applications.loan_amount]],0)</f>
        <v>5400</v>
      </c>
    </row>
    <row r="39" spans="1:27" x14ac:dyDescent="0.35">
      <c r="A39" t="s">
        <v>128</v>
      </c>
      <c r="B39" t="s">
        <v>129</v>
      </c>
      <c r="C39" s="1">
        <v>45465</v>
      </c>
      <c r="D39">
        <v>26</v>
      </c>
      <c r="E39" t="s">
        <v>83</v>
      </c>
      <c r="F39" t="s">
        <v>15</v>
      </c>
      <c r="G39" t="s">
        <v>63</v>
      </c>
      <c r="H39">
        <v>0</v>
      </c>
      <c r="I39" s="5">
        <v>23219</v>
      </c>
      <c r="J39" t="str" cm="1">
        <f t="array" ref="J3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9">
        <v>576</v>
      </c>
      <c r="L39" t="s">
        <v>34</v>
      </c>
      <c r="M39">
        <v>0</v>
      </c>
      <c r="N39">
        <v>999</v>
      </c>
      <c r="O39" t="str" cm="1">
        <f t="array" ref="O3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9" t="s">
        <v>45</v>
      </c>
      <c r="Q39" s="5">
        <v>5500</v>
      </c>
      <c r="R39">
        <v>12</v>
      </c>
      <c r="S39">
        <v>14.25</v>
      </c>
      <c r="T39">
        <v>494.48</v>
      </c>
      <c r="U39">
        <v>77.2</v>
      </c>
      <c r="V39" t="str" cm="1">
        <f t="array" ref="V3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9" t="s">
        <v>21</v>
      </c>
      <c r="X39">
        <v>0</v>
      </c>
      <c r="Y39">
        <v>0</v>
      </c>
      <c r="Z39" s="5">
        <f>IF(Merge1[[#This Row],[loan_applications.defaulted]]=0,Merge1[[#This Row],[loan_applications.loan_amount]]*(Merge1[[#This Row],[loan_applications.interest_rate]]/100)*(Merge1[[#This Row],[loan_applications.term_months]]/12),0)</f>
        <v>783.74999999999989</v>
      </c>
      <c r="AA39" s="5">
        <f>IF(Merge1[[#This Row],[loan_applications.defaulted]]=1,Merge1[[#This Row],[loan_applications.loan_amount]],0)</f>
        <v>0</v>
      </c>
    </row>
    <row r="40" spans="1:27" x14ac:dyDescent="0.35">
      <c r="A40" t="s">
        <v>130</v>
      </c>
      <c r="B40" t="s">
        <v>131</v>
      </c>
      <c r="C40" s="1">
        <v>45674</v>
      </c>
      <c r="D40">
        <v>26</v>
      </c>
      <c r="E40" t="s">
        <v>57</v>
      </c>
      <c r="F40" t="s">
        <v>62</v>
      </c>
      <c r="G40" t="s">
        <v>26</v>
      </c>
      <c r="H40">
        <v>5</v>
      </c>
      <c r="I40" s="5">
        <v>68134</v>
      </c>
      <c r="J40" t="str" cm="1">
        <f t="array" ref="J4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0">
        <v>813</v>
      </c>
      <c r="L40" t="s">
        <v>34</v>
      </c>
      <c r="M40">
        <v>2</v>
      </c>
      <c r="N40">
        <v>306</v>
      </c>
      <c r="O40" t="str" cm="1">
        <f t="array" ref="O4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0" t="s">
        <v>50</v>
      </c>
      <c r="Q40" s="5">
        <v>46400</v>
      </c>
      <c r="R40">
        <v>24</v>
      </c>
      <c r="S40">
        <v>7.45</v>
      </c>
      <c r="T40">
        <v>2086.9299999999998</v>
      </c>
      <c r="U40">
        <v>42.1</v>
      </c>
      <c r="V40" t="str" cm="1">
        <f t="array" ref="V4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0" t="s">
        <v>41</v>
      </c>
      <c r="X40">
        <v>0</v>
      </c>
      <c r="Y40">
        <v>0</v>
      </c>
      <c r="Z40" s="5">
        <f>IF(Merge1[[#This Row],[loan_applications.defaulted]]=0,Merge1[[#This Row],[loan_applications.loan_amount]]*(Merge1[[#This Row],[loan_applications.interest_rate]]/100)*(Merge1[[#This Row],[loan_applications.term_months]]/12),0)</f>
        <v>6913.5999999999995</v>
      </c>
      <c r="AA40" s="5">
        <f>IF(Merge1[[#This Row],[loan_applications.defaulted]]=1,Merge1[[#This Row],[loan_applications.loan_amount]],0)</f>
        <v>0</v>
      </c>
    </row>
    <row r="41" spans="1:27" x14ac:dyDescent="0.35">
      <c r="A41" t="s">
        <v>132</v>
      </c>
      <c r="B41" t="s">
        <v>133</v>
      </c>
      <c r="C41" s="1">
        <v>45405</v>
      </c>
      <c r="D41">
        <v>57</v>
      </c>
      <c r="E41" t="s">
        <v>74</v>
      </c>
      <c r="F41" t="s">
        <v>68</v>
      </c>
      <c r="G41" t="s">
        <v>16</v>
      </c>
      <c r="H41">
        <v>16</v>
      </c>
      <c r="I41" s="5">
        <v>72778</v>
      </c>
      <c r="J41" t="str" cm="1">
        <f t="array" ref="J4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1">
        <v>603</v>
      </c>
      <c r="L41" t="s">
        <v>27</v>
      </c>
      <c r="M41">
        <v>2</v>
      </c>
      <c r="N41">
        <v>774</v>
      </c>
      <c r="O41" t="str" cm="1">
        <f t="array" ref="O4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1" t="s">
        <v>56</v>
      </c>
      <c r="Q41" s="5">
        <v>46500</v>
      </c>
      <c r="R41">
        <v>36</v>
      </c>
      <c r="S41">
        <v>10.02</v>
      </c>
      <c r="T41">
        <v>1500.86</v>
      </c>
      <c r="U41">
        <v>37.5</v>
      </c>
      <c r="V41" t="str" cm="1">
        <f t="array" ref="V4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1" t="s">
        <v>41</v>
      </c>
      <c r="X41">
        <v>0</v>
      </c>
      <c r="Y41">
        <v>0</v>
      </c>
      <c r="Z41" s="5">
        <f>IF(Merge1[[#This Row],[loan_applications.defaulted]]=0,Merge1[[#This Row],[loan_applications.loan_amount]]*(Merge1[[#This Row],[loan_applications.interest_rate]]/100)*(Merge1[[#This Row],[loan_applications.term_months]]/12),0)</f>
        <v>13977.900000000001</v>
      </c>
      <c r="AA41" s="5">
        <f>IF(Merge1[[#This Row],[loan_applications.defaulted]]=1,Merge1[[#This Row],[loan_applications.loan_amount]],0)</f>
        <v>0</v>
      </c>
    </row>
    <row r="42" spans="1:27" x14ac:dyDescent="0.35">
      <c r="A42" t="s">
        <v>134</v>
      </c>
      <c r="B42" t="s">
        <v>135</v>
      </c>
      <c r="C42" s="1">
        <v>45436</v>
      </c>
      <c r="D42">
        <v>40</v>
      </c>
      <c r="E42" t="s">
        <v>31</v>
      </c>
      <c r="F42" t="s">
        <v>32</v>
      </c>
      <c r="G42" t="s">
        <v>16</v>
      </c>
      <c r="H42">
        <v>8</v>
      </c>
      <c r="I42" s="5">
        <v>53589</v>
      </c>
      <c r="J42" t="str" cm="1">
        <f t="array" ref="J4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2">
        <v>850</v>
      </c>
      <c r="L42" t="s">
        <v>34</v>
      </c>
      <c r="M42">
        <v>3</v>
      </c>
      <c r="N42">
        <v>2112</v>
      </c>
      <c r="O42" t="str" cm="1">
        <f t="array" ref="O4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" t="s">
        <v>56</v>
      </c>
      <c r="Q42" s="5">
        <v>16200</v>
      </c>
      <c r="R42">
        <v>36</v>
      </c>
      <c r="S42">
        <v>8.58</v>
      </c>
      <c r="T42">
        <v>511.99</v>
      </c>
      <c r="U42">
        <v>58.8</v>
      </c>
      <c r="V42" t="str" cm="1">
        <f t="array" ref="V4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2" t="s">
        <v>41</v>
      </c>
      <c r="X42">
        <v>0</v>
      </c>
      <c r="Y42">
        <v>0</v>
      </c>
      <c r="Z42" s="5">
        <f>IF(Merge1[[#This Row],[loan_applications.defaulted]]=0,Merge1[[#This Row],[loan_applications.loan_amount]]*(Merge1[[#This Row],[loan_applications.interest_rate]]/100)*(Merge1[[#This Row],[loan_applications.term_months]]/12),0)</f>
        <v>4169.88</v>
      </c>
      <c r="AA42" s="5">
        <f>IF(Merge1[[#This Row],[loan_applications.defaulted]]=1,Merge1[[#This Row],[loan_applications.loan_amount]],0)</f>
        <v>0</v>
      </c>
    </row>
    <row r="43" spans="1:27" x14ac:dyDescent="0.35">
      <c r="A43" t="s">
        <v>136</v>
      </c>
      <c r="B43" t="s">
        <v>137</v>
      </c>
      <c r="C43" s="1">
        <v>45569</v>
      </c>
      <c r="D43">
        <v>27</v>
      </c>
      <c r="E43" t="s">
        <v>31</v>
      </c>
      <c r="F43" t="s">
        <v>32</v>
      </c>
      <c r="G43" t="s">
        <v>33</v>
      </c>
      <c r="H43">
        <v>2</v>
      </c>
      <c r="I43" s="5">
        <v>43412</v>
      </c>
      <c r="J43" t="str" cm="1">
        <f t="array" ref="J4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3">
        <v>700</v>
      </c>
      <c r="L43" t="s">
        <v>34</v>
      </c>
      <c r="M43">
        <v>0</v>
      </c>
      <c r="N43">
        <v>980</v>
      </c>
      <c r="O43" t="str" cm="1">
        <f t="array" ref="O4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3" t="s">
        <v>30</v>
      </c>
      <c r="Q43" s="5">
        <v>4300</v>
      </c>
      <c r="R43">
        <v>36</v>
      </c>
      <c r="S43">
        <v>9.34</v>
      </c>
      <c r="T43">
        <v>137.41999999999999</v>
      </c>
      <c r="U43">
        <v>30.9</v>
      </c>
      <c r="V43" t="str" cm="1">
        <f t="array" ref="V4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3" t="s">
        <v>24</v>
      </c>
      <c r="X43">
        <v>32</v>
      </c>
      <c r="Y43">
        <v>1</v>
      </c>
      <c r="Z4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3" s="5">
        <f>IF(Merge1[[#This Row],[loan_applications.defaulted]]=1,Merge1[[#This Row],[loan_applications.loan_amount]],0)</f>
        <v>4300</v>
      </c>
    </row>
    <row r="44" spans="1:27" x14ac:dyDescent="0.35">
      <c r="A44" t="s">
        <v>138</v>
      </c>
      <c r="B44" t="s">
        <v>137</v>
      </c>
      <c r="C44" s="1">
        <v>45311</v>
      </c>
      <c r="D44">
        <v>27</v>
      </c>
      <c r="E44" t="s">
        <v>31</v>
      </c>
      <c r="F44" t="s">
        <v>32</v>
      </c>
      <c r="G44" t="s">
        <v>33</v>
      </c>
      <c r="H44">
        <v>2</v>
      </c>
      <c r="I44" s="5">
        <v>43412</v>
      </c>
      <c r="J44" t="str" cm="1">
        <f t="array" ref="J4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4">
        <v>700</v>
      </c>
      <c r="L44" t="s">
        <v>34</v>
      </c>
      <c r="M44">
        <v>0</v>
      </c>
      <c r="N44">
        <v>980</v>
      </c>
      <c r="O44" t="str" cm="1">
        <f t="array" ref="O4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4" t="s">
        <v>54</v>
      </c>
      <c r="Q44" s="5">
        <v>10500</v>
      </c>
      <c r="R44">
        <v>36</v>
      </c>
      <c r="S44">
        <v>12.65</v>
      </c>
      <c r="T44">
        <v>352.02</v>
      </c>
      <c r="U44">
        <v>36.799999999999997</v>
      </c>
      <c r="V44" t="str" cm="1">
        <f t="array" ref="V4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4" t="s">
        <v>91</v>
      </c>
      <c r="X44">
        <v>15</v>
      </c>
      <c r="Y44">
        <v>0</v>
      </c>
      <c r="Z44" s="5">
        <f>IF(Merge1[[#This Row],[loan_applications.defaulted]]=0,Merge1[[#This Row],[loan_applications.loan_amount]]*(Merge1[[#This Row],[loan_applications.interest_rate]]/100)*(Merge1[[#This Row],[loan_applications.term_months]]/12),0)</f>
        <v>3984.75</v>
      </c>
      <c r="AA44" s="5">
        <f>IF(Merge1[[#This Row],[loan_applications.defaulted]]=1,Merge1[[#This Row],[loan_applications.loan_amount]],0)</f>
        <v>0</v>
      </c>
    </row>
    <row r="45" spans="1:27" x14ac:dyDescent="0.35">
      <c r="A45" t="s">
        <v>140</v>
      </c>
      <c r="B45" t="s">
        <v>141</v>
      </c>
      <c r="C45" s="1">
        <v>45836</v>
      </c>
      <c r="D45">
        <v>67</v>
      </c>
      <c r="E45" t="s">
        <v>139</v>
      </c>
      <c r="F45" t="s">
        <v>32</v>
      </c>
      <c r="G45" t="s">
        <v>26</v>
      </c>
      <c r="H45">
        <v>34</v>
      </c>
      <c r="I45" s="5">
        <v>45400</v>
      </c>
      <c r="J45" t="str" cm="1">
        <f t="array" ref="J4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5">
        <v>606</v>
      </c>
      <c r="L45" t="s">
        <v>27</v>
      </c>
      <c r="M45">
        <v>2</v>
      </c>
      <c r="N45">
        <v>469</v>
      </c>
      <c r="O45" t="str" cm="1">
        <f t="array" ref="O4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5" t="s">
        <v>30</v>
      </c>
      <c r="Q45" s="5">
        <v>6800</v>
      </c>
      <c r="R45">
        <v>36</v>
      </c>
      <c r="S45">
        <v>12.32</v>
      </c>
      <c r="T45">
        <v>226.9</v>
      </c>
      <c r="U45">
        <v>18.399999999999999</v>
      </c>
      <c r="V45" t="str" cm="1">
        <f t="array" ref="V4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5" t="s">
        <v>24</v>
      </c>
      <c r="X45">
        <v>80</v>
      </c>
      <c r="Y45">
        <v>1</v>
      </c>
      <c r="Z4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5" s="5">
        <f>IF(Merge1[[#This Row],[loan_applications.defaulted]]=1,Merge1[[#This Row],[loan_applications.loan_amount]],0)</f>
        <v>6800</v>
      </c>
    </row>
    <row r="46" spans="1:27" x14ac:dyDescent="0.35">
      <c r="A46" t="s">
        <v>142</v>
      </c>
      <c r="B46" t="s">
        <v>141</v>
      </c>
      <c r="C46" s="1">
        <v>45834</v>
      </c>
      <c r="D46">
        <v>67</v>
      </c>
      <c r="E46" t="s">
        <v>139</v>
      </c>
      <c r="F46" t="s">
        <v>32</v>
      </c>
      <c r="G46" t="s">
        <v>26</v>
      </c>
      <c r="H46">
        <v>34</v>
      </c>
      <c r="I46" s="5">
        <v>45400</v>
      </c>
      <c r="J46" t="str" cm="1">
        <f t="array" ref="J4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6">
        <v>606</v>
      </c>
      <c r="L46" t="s">
        <v>27</v>
      </c>
      <c r="M46">
        <v>2</v>
      </c>
      <c r="N46">
        <v>469</v>
      </c>
      <c r="O46" t="str" cm="1">
        <f t="array" ref="O4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6" t="s">
        <v>30</v>
      </c>
      <c r="Q46" s="5">
        <v>28900</v>
      </c>
      <c r="R46">
        <v>12</v>
      </c>
      <c r="S46">
        <v>10.1</v>
      </c>
      <c r="T46">
        <v>2542.11</v>
      </c>
      <c r="U46">
        <v>79.599999999999994</v>
      </c>
      <c r="V46" t="str" cm="1">
        <f t="array" ref="V4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6" t="s">
        <v>24</v>
      </c>
      <c r="X46">
        <v>155</v>
      </c>
      <c r="Y46">
        <v>1</v>
      </c>
      <c r="Z4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6" s="5">
        <f>IF(Merge1[[#This Row],[loan_applications.defaulted]]=1,Merge1[[#This Row],[loan_applications.loan_amount]],0)</f>
        <v>28900</v>
      </c>
    </row>
    <row r="47" spans="1:27" x14ac:dyDescent="0.35">
      <c r="A47" t="s">
        <v>143</v>
      </c>
      <c r="B47" t="s">
        <v>144</v>
      </c>
      <c r="C47" s="1">
        <v>45533</v>
      </c>
      <c r="D47">
        <v>30</v>
      </c>
      <c r="E47" t="s">
        <v>51</v>
      </c>
      <c r="F47" t="s">
        <v>15</v>
      </c>
      <c r="G47" t="s">
        <v>26</v>
      </c>
      <c r="H47">
        <v>5</v>
      </c>
      <c r="I47" s="5">
        <v>55244</v>
      </c>
      <c r="J47" t="str" cm="1">
        <f t="array" ref="J4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7">
        <v>550</v>
      </c>
      <c r="L47" t="s">
        <v>27</v>
      </c>
      <c r="M47">
        <v>2</v>
      </c>
      <c r="N47">
        <v>1044</v>
      </c>
      <c r="O47" t="str" cm="1">
        <f t="array" ref="O4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7" t="s">
        <v>50</v>
      </c>
      <c r="Q47" s="5">
        <v>12800</v>
      </c>
      <c r="R47">
        <v>36</v>
      </c>
      <c r="S47">
        <v>13.96</v>
      </c>
      <c r="T47">
        <v>437.23</v>
      </c>
      <c r="U47">
        <v>32.200000000000003</v>
      </c>
      <c r="V47" t="str" cm="1">
        <f t="array" ref="V4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7" t="s">
        <v>91</v>
      </c>
      <c r="X47">
        <v>30</v>
      </c>
      <c r="Y47">
        <v>0</v>
      </c>
      <c r="Z47" s="5">
        <f>IF(Merge1[[#This Row],[loan_applications.defaulted]]=0,Merge1[[#This Row],[loan_applications.loan_amount]]*(Merge1[[#This Row],[loan_applications.interest_rate]]/100)*(Merge1[[#This Row],[loan_applications.term_months]]/12),0)</f>
        <v>5360.64</v>
      </c>
      <c r="AA47" s="5">
        <f>IF(Merge1[[#This Row],[loan_applications.defaulted]]=1,Merge1[[#This Row],[loan_applications.loan_amount]],0)</f>
        <v>0</v>
      </c>
    </row>
    <row r="48" spans="1:27" x14ac:dyDescent="0.35">
      <c r="A48" t="s">
        <v>145</v>
      </c>
      <c r="B48" t="s">
        <v>146</v>
      </c>
      <c r="C48" s="1">
        <v>45578</v>
      </c>
      <c r="D48">
        <v>57</v>
      </c>
      <c r="E48" t="s">
        <v>57</v>
      </c>
      <c r="F48" t="s">
        <v>62</v>
      </c>
      <c r="G48" t="s">
        <v>26</v>
      </c>
      <c r="H48">
        <v>15</v>
      </c>
      <c r="I48" s="5">
        <v>107852</v>
      </c>
      <c r="J48" t="str" cm="1">
        <f t="array" ref="J4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">
        <v>624</v>
      </c>
      <c r="L48" t="s">
        <v>17</v>
      </c>
      <c r="M48">
        <v>3</v>
      </c>
      <c r="N48">
        <v>4410</v>
      </c>
      <c r="O48" t="str" cm="1">
        <f t="array" ref="O4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8" t="s">
        <v>37</v>
      </c>
      <c r="Q48" s="5">
        <v>44700</v>
      </c>
      <c r="R48">
        <v>12</v>
      </c>
      <c r="S48">
        <v>14.32</v>
      </c>
      <c r="T48">
        <v>4020.22</v>
      </c>
      <c r="U48">
        <v>93.8</v>
      </c>
      <c r="V48" t="str" cm="1">
        <f t="array" ref="V4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8" t="s">
        <v>24</v>
      </c>
      <c r="X48">
        <v>117</v>
      </c>
      <c r="Y48">
        <v>1</v>
      </c>
      <c r="Z4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8" s="5">
        <f>IF(Merge1[[#This Row],[loan_applications.defaulted]]=1,Merge1[[#This Row],[loan_applications.loan_amount]],0)</f>
        <v>44700</v>
      </c>
    </row>
    <row r="49" spans="1:27" x14ac:dyDescent="0.35">
      <c r="A49" t="s">
        <v>147</v>
      </c>
      <c r="B49" t="s">
        <v>148</v>
      </c>
      <c r="C49" s="1">
        <v>45524</v>
      </c>
      <c r="D49">
        <v>23</v>
      </c>
      <c r="E49" t="s">
        <v>57</v>
      </c>
      <c r="F49" t="s">
        <v>15</v>
      </c>
      <c r="G49" t="s">
        <v>75</v>
      </c>
      <c r="H49">
        <v>1</v>
      </c>
      <c r="I49" s="5">
        <v>29964</v>
      </c>
      <c r="J49" t="str" cm="1">
        <f t="array" ref="J4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9">
        <v>735</v>
      </c>
      <c r="L49" t="s">
        <v>34</v>
      </c>
      <c r="M49">
        <v>2</v>
      </c>
      <c r="N49">
        <v>602</v>
      </c>
      <c r="O49" t="str" cm="1">
        <f t="array" ref="O4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9" t="s">
        <v>50</v>
      </c>
      <c r="Q49" s="5">
        <v>5900</v>
      </c>
      <c r="R49">
        <v>60</v>
      </c>
      <c r="S49">
        <v>12.11</v>
      </c>
      <c r="T49">
        <v>131.57</v>
      </c>
      <c r="U49">
        <v>29.4</v>
      </c>
      <c r="V49" t="str" cm="1">
        <f t="array" ref="V4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9" t="s">
        <v>41</v>
      </c>
      <c r="X49">
        <v>0</v>
      </c>
      <c r="Y49">
        <v>0</v>
      </c>
      <c r="Z49" s="5">
        <f>IF(Merge1[[#This Row],[loan_applications.defaulted]]=0,Merge1[[#This Row],[loan_applications.loan_amount]]*(Merge1[[#This Row],[loan_applications.interest_rate]]/100)*(Merge1[[#This Row],[loan_applications.term_months]]/12),0)</f>
        <v>3572.45</v>
      </c>
      <c r="AA49" s="5">
        <f>IF(Merge1[[#This Row],[loan_applications.defaulted]]=1,Merge1[[#This Row],[loan_applications.loan_amount]],0)</f>
        <v>0</v>
      </c>
    </row>
    <row r="50" spans="1:27" x14ac:dyDescent="0.35">
      <c r="A50" t="s">
        <v>149</v>
      </c>
      <c r="B50" t="s">
        <v>148</v>
      </c>
      <c r="C50" s="1">
        <v>45433</v>
      </c>
      <c r="D50">
        <v>23</v>
      </c>
      <c r="E50" t="s">
        <v>57</v>
      </c>
      <c r="F50" t="s">
        <v>15</v>
      </c>
      <c r="G50" t="s">
        <v>75</v>
      </c>
      <c r="H50">
        <v>1</v>
      </c>
      <c r="I50" s="5">
        <v>29964</v>
      </c>
      <c r="J50" t="str" cm="1">
        <f t="array" ref="J5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0">
        <v>735</v>
      </c>
      <c r="L50" t="s">
        <v>34</v>
      </c>
      <c r="M50">
        <v>2</v>
      </c>
      <c r="N50">
        <v>602</v>
      </c>
      <c r="O50" t="str" cm="1">
        <f t="array" ref="O5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0" t="s">
        <v>37</v>
      </c>
      <c r="Q50" s="5">
        <v>15100</v>
      </c>
      <c r="R50">
        <v>60</v>
      </c>
      <c r="S50">
        <v>8.41</v>
      </c>
      <c r="T50">
        <v>309.14999999999998</v>
      </c>
      <c r="U50">
        <v>36.5</v>
      </c>
      <c r="V50" t="str" cm="1">
        <f t="array" ref="V5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0" t="s">
        <v>41</v>
      </c>
      <c r="X50">
        <v>0</v>
      </c>
      <c r="Y50">
        <v>0</v>
      </c>
      <c r="Z50" s="5">
        <f>IF(Merge1[[#This Row],[loan_applications.defaulted]]=0,Merge1[[#This Row],[loan_applications.loan_amount]]*(Merge1[[#This Row],[loan_applications.interest_rate]]/100)*(Merge1[[#This Row],[loan_applications.term_months]]/12),0)</f>
        <v>6349.55</v>
      </c>
      <c r="AA50" s="5">
        <f>IF(Merge1[[#This Row],[loan_applications.defaulted]]=1,Merge1[[#This Row],[loan_applications.loan_amount]],0)</f>
        <v>0</v>
      </c>
    </row>
    <row r="51" spans="1:27" x14ac:dyDescent="0.35">
      <c r="A51" t="s">
        <v>150</v>
      </c>
      <c r="B51" t="s">
        <v>151</v>
      </c>
      <c r="C51" s="1">
        <v>45453</v>
      </c>
      <c r="D51">
        <v>24</v>
      </c>
      <c r="E51" t="s">
        <v>57</v>
      </c>
      <c r="F51" t="s">
        <v>62</v>
      </c>
      <c r="G51" t="s">
        <v>26</v>
      </c>
      <c r="H51">
        <v>2</v>
      </c>
      <c r="I51" s="5">
        <v>124663</v>
      </c>
      <c r="J51" t="str" cm="1">
        <f t="array" ref="J5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1">
        <v>785</v>
      </c>
      <c r="L51" t="s">
        <v>34</v>
      </c>
      <c r="M51">
        <v>3</v>
      </c>
      <c r="N51">
        <v>1677</v>
      </c>
      <c r="O51" t="str" cm="1">
        <f t="array" ref="O5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1" t="s">
        <v>30</v>
      </c>
      <c r="Q51" s="5">
        <v>22600</v>
      </c>
      <c r="R51">
        <v>24</v>
      </c>
      <c r="S51">
        <v>10.199999999999999</v>
      </c>
      <c r="T51">
        <v>1044.96</v>
      </c>
      <c r="U51">
        <v>26.2</v>
      </c>
      <c r="V51" t="str" cm="1">
        <f t="array" ref="V5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1" t="s">
        <v>21</v>
      </c>
      <c r="X51">
        <v>0</v>
      </c>
      <c r="Y51">
        <v>0</v>
      </c>
      <c r="Z51" s="5">
        <f>IF(Merge1[[#This Row],[loan_applications.defaulted]]=0,Merge1[[#This Row],[loan_applications.loan_amount]]*(Merge1[[#This Row],[loan_applications.interest_rate]]/100)*(Merge1[[#This Row],[loan_applications.term_months]]/12),0)</f>
        <v>4610.3999999999996</v>
      </c>
      <c r="AA51" s="5">
        <f>IF(Merge1[[#This Row],[loan_applications.defaulted]]=1,Merge1[[#This Row],[loan_applications.loan_amount]],0)</f>
        <v>0</v>
      </c>
    </row>
    <row r="52" spans="1:27" x14ac:dyDescent="0.35">
      <c r="A52" t="s">
        <v>152</v>
      </c>
      <c r="B52" t="s">
        <v>153</v>
      </c>
      <c r="C52" s="1">
        <v>45715</v>
      </c>
      <c r="D52">
        <v>64</v>
      </c>
      <c r="E52" t="s">
        <v>67</v>
      </c>
      <c r="F52" t="s">
        <v>15</v>
      </c>
      <c r="G52" t="s">
        <v>26</v>
      </c>
      <c r="H52">
        <v>22</v>
      </c>
      <c r="I52" s="5">
        <v>52825</v>
      </c>
      <c r="J52" t="str" cm="1">
        <f t="array" ref="J5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">
        <v>672</v>
      </c>
      <c r="L52" t="s">
        <v>34</v>
      </c>
      <c r="M52">
        <v>2</v>
      </c>
      <c r="N52">
        <v>2077</v>
      </c>
      <c r="O52" t="str" cm="1">
        <f t="array" ref="O5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2" t="s">
        <v>45</v>
      </c>
      <c r="Q52" s="5">
        <v>9000</v>
      </c>
      <c r="R52">
        <v>12</v>
      </c>
      <c r="S52">
        <v>12.63</v>
      </c>
      <c r="T52">
        <v>802.29</v>
      </c>
      <c r="U52">
        <v>65.400000000000006</v>
      </c>
      <c r="V52" t="str" cm="1">
        <f t="array" ref="V5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2" t="s">
        <v>21</v>
      </c>
      <c r="X52">
        <v>0</v>
      </c>
      <c r="Y52">
        <v>0</v>
      </c>
      <c r="Z52" s="5">
        <f>IF(Merge1[[#This Row],[loan_applications.defaulted]]=0,Merge1[[#This Row],[loan_applications.loan_amount]]*(Merge1[[#This Row],[loan_applications.interest_rate]]/100)*(Merge1[[#This Row],[loan_applications.term_months]]/12),0)</f>
        <v>1136.7</v>
      </c>
      <c r="AA52" s="5">
        <f>IF(Merge1[[#This Row],[loan_applications.defaulted]]=1,Merge1[[#This Row],[loan_applications.loan_amount]],0)</f>
        <v>0</v>
      </c>
    </row>
    <row r="53" spans="1:27" x14ac:dyDescent="0.35">
      <c r="A53" t="s">
        <v>154</v>
      </c>
      <c r="B53" t="s">
        <v>155</v>
      </c>
      <c r="C53" s="1">
        <v>45565</v>
      </c>
      <c r="D53">
        <v>43</v>
      </c>
      <c r="E53" t="s">
        <v>31</v>
      </c>
      <c r="F53" t="s">
        <v>62</v>
      </c>
      <c r="G53" t="s">
        <v>26</v>
      </c>
      <c r="H53">
        <v>18</v>
      </c>
      <c r="I53" s="5">
        <v>137860</v>
      </c>
      <c r="J53" t="str" cm="1">
        <f t="array" ref="J5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">
        <v>641</v>
      </c>
      <c r="L53" t="s">
        <v>17</v>
      </c>
      <c r="M53">
        <v>0</v>
      </c>
      <c r="N53">
        <v>4001</v>
      </c>
      <c r="O53" t="str" cm="1">
        <f t="array" ref="O5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3" t="s">
        <v>37</v>
      </c>
      <c r="Q53" s="5">
        <v>11000</v>
      </c>
      <c r="R53">
        <v>24</v>
      </c>
      <c r="S53">
        <v>10.24</v>
      </c>
      <c r="T53">
        <v>508.81</v>
      </c>
      <c r="U53">
        <v>39.299999999999997</v>
      </c>
      <c r="V53" t="str" cm="1">
        <f t="array" ref="V5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3" t="s">
        <v>41</v>
      </c>
      <c r="X53">
        <v>0</v>
      </c>
      <c r="Y53">
        <v>0</v>
      </c>
      <c r="Z53" s="5">
        <f>IF(Merge1[[#This Row],[loan_applications.defaulted]]=0,Merge1[[#This Row],[loan_applications.loan_amount]]*(Merge1[[#This Row],[loan_applications.interest_rate]]/100)*(Merge1[[#This Row],[loan_applications.term_months]]/12),0)</f>
        <v>2252.8000000000002</v>
      </c>
      <c r="AA53" s="5">
        <f>IF(Merge1[[#This Row],[loan_applications.defaulted]]=1,Merge1[[#This Row],[loan_applications.loan_amount]],0)</f>
        <v>0</v>
      </c>
    </row>
    <row r="54" spans="1:27" x14ac:dyDescent="0.35">
      <c r="A54" t="s">
        <v>156</v>
      </c>
      <c r="B54" t="s">
        <v>155</v>
      </c>
      <c r="C54" s="1">
        <v>45772</v>
      </c>
      <c r="D54">
        <v>43</v>
      </c>
      <c r="E54" t="s">
        <v>31</v>
      </c>
      <c r="F54" t="s">
        <v>62</v>
      </c>
      <c r="G54" t="s">
        <v>26</v>
      </c>
      <c r="H54">
        <v>18</v>
      </c>
      <c r="I54" s="5">
        <v>137860</v>
      </c>
      <c r="J54" t="str" cm="1">
        <f t="array" ref="J5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4">
        <v>641</v>
      </c>
      <c r="L54" t="s">
        <v>17</v>
      </c>
      <c r="M54">
        <v>0</v>
      </c>
      <c r="N54">
        <v>4001</v>
      </c>
      <c r="O54" t="str" cm="1">
        <f t="array" ref="O5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4" t="s">
        <v>56</v>
      </c>
      <c r="Q54" s="5">
        <v>19200</v>
      </c>
      <c r="R54">
        <v>48</v>
      </c>
      <c r="S54">
        <v>9.99</v>
      </c>
      <c r="T54">
        <v>486.87</v>
      </c>
      <c r="U54">
        <v>39.1</v>
      </c>
      <c r="V54" t="str" cm="1">
        <f t="array" ref="V5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4" t="s">
        <v>21</v>
      </c>
      <c r="X54">
        <v>0</v>
      </c>
      <c r="Y54">
        <v>0</v>
      </c>
      <c r="Z54" s="5">
        <f>IF(Merge1[[#This Row],[loan_applications.defaulted]]=0,Merge1[[#This Row],[loan_applications.loan_amount]]*(Merge1[[#This Row],[loan_applications.interest_rate]]/100)*(Merge1[[#This Row],[loan_applications.term_months]]/12),0)</f>
        <v>7672.3200000000006</v>
      </c>
      <c r="AA54" s="5">
        <f>IF(Merge1[[#This Row],[loan_applications.defaulted]]=1,Merge1[[#This Row],[loan_applications.loan_amount]],0)</f>
        <v>0</v>
      </c>
    </row>
    <row r="55" spans="1:27" x14ac:dyDescent="0.35">
      <c r="A55" t="s">
        <v>158</v>
      </c>
      <c r="B55" t="s">
        <v>159</v>
      </c>
      <c r="C55" s="1">
        <v>45307</v>
      </c>
      <c r="D55">
        <v>44</v>
      </c>
      <c r="E55" t="s">
        <v>157</v>
      </c>
      <c r="F55" t="s">
        <v>62</v>
      </c>
      <c r="G55" t="s">
        <v>26</v>
      </c>
      <c r="H55">
        <v>3</v>
      </c>
      <c r="I55" s="5">
        <v>106612</v>
      </c>
      <c r="J55" t="str" cm="1">
        <f t="array" ref="J5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5">
        <v>806</v>
      </c>
      <c r="L55" t="s">
        <v>34</v>
      </c>
      <c r="M55">
        <v>0</v>
      </c>
      <c r="N55">
        <v>641</v>
      </c>
      <c r="O55" t="str" cm="1">
        <f t="array" ref="O5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5" t="s">
        <v>50</v>
      </c>
      <c r="Q55" s="5">
        <v>12900</v>
      </c>
      <c r="R55">
        <v>48</v>
      </c>
      <c r="S55">
        <v>10.39</v>
      </c>
      <c r="T55">
        <v>329.6</v>
      </c>
      <c r="U55">
        <v>10.9</v>
      </c>
      <c r="V55" t="str" cm="1">
        <f t="array" ref="V5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5" t="s">
        <v>91</v>
      </c>
      <c r="X55">
        <v>30</v>
      </c>
      <c r="Y55">
        <v>0</v>
      </c>
      <c r="Z55" s="5">
        <f>IF(Merge1[[#This Row],[loan_applications.defaulted]]=0,Merge1[[#This Row],[loan_applications.loan_amount]]*(Merge1[[#This Row],[loan_applications.interest_rate]]/100)*(Merge1[[#This Row],[loan_applications.term_months]]/12),0)</f>
        <v>5361.2400000000007</v>
      </c>
      <c r="AA55" s="5">
        <f>IF(Merge1[[#This Row],[loan_applications.defaulted]]=1,Merge1[[#This Row],[loan_applications.loan_amount]],0)</f>
        <v>0</v>
      </c>
    </row>
    <row r="56" spans="1:27" x14ac:dyDescent="0.35">
      <c r="A56" t="s">
        <v>160</v>
      </c>
      <c r="B56" t="s">
        <v>161</v>
      </c>
      <c r="C56" s="1">
        <v>45793</v>
      </c>
      <c r="D56">
        <v>49</v>
      </c>
      <c r="E56" t="s">
        <v>125</v>
      </c>
      <c r="F56" t="s">
        <v>15</v>
      </c>
      <c r="G56" t="s">
        <v>75</v>
      </c>
      <c r="H56">
        <v>11</v>
      </c>
      <c r="I56" s="5">
        <v>24811</v>
      </c>
      <c r="J56" t="str" cm="1">
        <f t="array" ref="J5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6">
        <v>625</v>
      </c>
      <c r="L56" t="s">
        <v>34</v>
      </c>
      <c r="M56">
        <v>3</v>
      </c>
      <c r="N56">
        <v>747</v>
      </c>
      <c r="O56" t="str" cm="1">
        <f t="array" ref="O5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6" t="s">
        <v>56</v>
      </c>
      <c r="Q56" s="5">
        <v>3900</v>
      </c>
      <c r="R56">
        <v>48</v>
      </c>
      <c r="S56">
        <v>13.92</v>
      </c>
      <c r="T56">
        <v>106.42</v>
      </c>
      <c r="U56">
        <v>41.3</v>
      </c>
      <c r="V56" t="str" cm="1">
        <f t="array" ref="V5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6" t="s">
        <v>91</v>
      </c>
      <c r="X56">
        <v>15</v>
      </c>
      <c r="Y56">
        <v>0</v>
      </c>
      <c r="Z56" s="5">
        <f>IF(Merge1[[#This Row],[loan_applications.defaulted]]=0,Merge1[[#This Row],[loan_applications.loan_amount]]*(Merge1[[#This Row],[loan_applications.interest_rate]]/100)*(Merge1[[#This Row],[loan_applications.term_months]]/12),0)</f>
        <v>2171.52</v>
      </c>
      <c r="AA56" s="5">
        <f>IF(Merge1[[#This Row],[loan_applications.defaulted]]=1,Merge1[[#This Row],[loan_applications.loan_amount]],0)</f>
        <v>0</v>
      </c>
    </row>
    <row r="57" spans="1:27" x14ac:dyDescent="0.35">
      <c r="A57" t="s">
        <v>163</v>
      </c>
      <c r="B57" t="s">
        <v>164</v>
      </c>
      <c r="C57" s="1">
        <v>45829</v>
      </c>
      <c r="D57">
        <v>64</v>
      </c>
      <c r="E57" t="s">
        <v>162</v>
      </c>
      <c r="F57" t="s">
        <v>62</v>
      </c>
      <c r="G57" t="s">
        <v>16</v>
      </c>
      <c r="H57">
        <v>26</v>
      </c>
      <c r="I57" s="5">
        <v>80367</v>
      </c>
      <c r="J57" t="str" cm="1">
        <f t="array" ref="J5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7">
        <v>698</v>
      </c>
      <c r="L57" t="s">
        <v>34</v>
      </c>
      <c r="M57">
        <v>0</v>
      </c>
      <c r="N57">
        <v>761</v>
      </c>
      <c r="O57" t="str" cm="1">
        <f t="array" ref="O5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7" t="s">
        <v>60</v>
      </c>
      <c r="Q57" s="5">
        <v>41600</v>
      </c>
      <c r="R57">
        <v>36</v>
      </c>
      <c r="S57">
        <v>10.34</v>
      </c>
      <c r="T57">
        <v>1348.97</v>
      </c>
      <c r="U57">
        <v>31.5</v>
      </c>
      <c r="V57" t="str" cm="1">
        <f t="array" ref="V5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7" t="s">
        <v>41</v>
      </c>
      <c r="X57">
        <v>0</v>
      </c>
      <c r="Y57">
        <v>0</v>
      </c>
      <c r="Z57" s="5">
        <f>IF(Merge1[[#This Row],[loan_applications.defaulted]]=0,Merge1[[#This Row],[loan_applications.loan_amount]]*(Merge1[[#This Row],[loan_applications.interest_rate]]/100)*(Merge1[[#This Row],[loan_applications.term_months]]/12),0)</f>
        <v>12904.32</v>
      </c>
      <c r="AA57" s="5">
        <f>IF(Merge1[[#This Row],[loan_applications.defaulted]]=1,Merge1[[#This Row],[loan_applications.loan_amount]],0)</f>
        <v>0</v>
      </c>
    </row>
    <row r="58" spans="1:27" x14ac:dyDescent="0.35">
      <c r="A58" t="s">
        <v>165</v>
      </c>
      <c r="B58" t="s">
        <v>166</v>
      </c>
      <c r="C58" s="1">
        <v>45697</v>
      </c>
      <c r="D58">
        <v>48</v>
      </c>
      <c r="E58" t="s">
        <v>67</v>
      </c>
      <c r="F58" t="s">
        <v>32</v>
      </c>
      <c r="G58" t="s">
        <v>26</v>
      </c>
      <c r="H58">
        <v>19</v>
      </c>
      <c r="I58" s="5">
        <v>88330</v>
      </c>
      <c r="J58" t="str" cm="1">
        <f t="array" ref="J5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8">
        <v>629</v>
      </c>
      <c r="L58" t="s">
        <v>34</v>
      </c>
      <c r="M58">
        <v>1</v>
      </c>
      <c r="N58">
        <v>369</v>
      </c>
      <c r="O58" t="str" cm="1">
        <f t="array" ref="O5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8" t="s">
        <v>20</v>
      </c>
      <c r="Q58" s="5">
        <v>4000</v>
      </c>
      <c r="R58">
        <v>24</v>
      </c>
      <c r="S58">
        <v>12.11</v>
      </c>
      <c r="T58">
        <v>188.5</v>
      </c>
      <c r="U58">
        <v>7.6</v>
      </c>
      <c r="V58" t="str" cm="1">
        <f t="array" ref="V5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8" t="s">
        <v>41</v>
      </c>
      <c r="X58">
        <v>0</v>
      </c>
      <c r="Y58">
        <v>0</v>
      </c>
      <c r="Z58" s="5">
        <f>IF(Merge1[[#This Row],[loan_applications.defaulted]]=0,Merge1[[#This Row],[loan_applications.loan_amount]]*(Merge1[[#This Row],[loan_applications.interest_rate]]/100)*(Merge1[[#This Row],[loan_applications.term_months]]/12),0)</f>
        <v>968.8</v>
      </c>
      <c r="AA58" s="5">
        <f>IF(Merge1[[#This Row],[loan_applications.defaulted]]=1,Merge1[[#This Row],[loan_applications.loan_amount]],0)</f>
        <v>0</v>
      </c>
    </row>
    <row r="59" spans="1:27" x14ac:dyDescent="0.35">
      <c r="A59" t="s">
        <v>167</v>
      </c>
      <c r="B59" t="s">
        <v>168</v>
      </c>
      <c r="C59" s="1">
        <v>45584</v>
      </c>
      <c r="D59">
        <v>40</v>
      </c>
      <c r="E59" t="s">
        <v>125</v>
      </c>
      <c r="F59" t="s">
        <v>68</v>
      </c>
      <c r="G59" t="s">
        <v>16</v>
      </c>
      <c r="H59">
        <v>14</v>
      </c>
      <c r="I59" s="5">
        <v>57427</v>
      </c>
      <c r="J59" t="str" cm="1">
        <f t="array" ref="J5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9">
        <v>694</v>
      </c>
      <c r="L59" t="s">
        <v>34</v>
      </c>
      <c r="M59">
        <v>0</v>
      </c>
      <c r="N59">
        <v>1371</v>
      </c>
      <c r="O59" t="str" cm="1">
        <f t="array" ref="O5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9" t="s">
        <v>60</v>
      </c>
      <c r="Q59" s="5">
        <v>14400</v>
      </c>
      <c r="R59">
        <v>36</v>
      </c>
      <c r="S59">
        <v>12.3</v>
      </c>
      <c r="T59">
        <v>480.35</v>
      </c>
      <c r="U59">
        <v>38.700000000000003</v>
      </c>
      <c r="V59" t="str" cm="1">
        <f t="array" ref="V5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9" t="s">
        <v>91</v>
      </c>
      <c r="X59">
        <v>0</v>
      </c>
      <c r="Y59">
        <v>0</v>
      </c>
      <c r="Z59" s="5">
        <f>IF(Merge1[[#This Row],[loan_applications.defaulted]]=0,Merge1[[#This Row],[loan_applications.loan_amount]]*(Merge1[[#This Row],[loan_applications.interest_rate]]/100)*(Merge1[[#This Row],[loan_applications.term_months]]/12),0)</f>
        <v>5313.6</v>
      </c>
      <c r="AA59" s="5">
        <f>IF(Merge1[[#This Row],[loan_applications.defaulted]]=1,Merge1[[#This Row],[loan_applications.loan_amount]],0)</f>
        <v>0</v>
      </c>
    </row>
    <row r="60" spans="1:27" x14ac:dyDescent="0.35">
      <c r="A60" t="s">
        <v>170</v>
      </c>
      <c r="B60" t="s">
        <v>171</v>
      </c>
      <c r="C60" s="1">
        <v>45804</v>
      </c>
      <c r="D60">
        <v>32</v>
      </c>
      <c r="E60" t="s">
        <v>169</v>
      </c>
      <c r="F60" t="s">
        <v>32</v>
      </c>
      <c r="G60" t="s">
        <v>26</v>
      </c>
      <c r="H60">
        <v>5</v>
      </c>
      <c r="I60" s="5">
        <v>82953</v>
      </c>
      <c r="J60" t="str" cm="1">
        <f t="array" ref="J6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60">
        <v>850</v>
      </c>
      <c r="L60" t="s">
        <v>27</v>
      </c>
      <c r="M60">
        <v>0</v>
      </c>
      <c r="N60">
        <v>1418</v>
      </c>
      <c r="O60" t="str" cm="1">
        <f t="array" ref="O6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60" t="s">
        <v>30</v>
      </c>
      <c r="Q60" s="5">
        <v>24300</v>
      </c>
      <c r="R60">
        <v>48</v>
      </c>
      <c r="S60">
        <v>6.29</v>
      </c>
      <c r="T60">
        <v>573.91999999999996</v>
      </c>
      <c r="U60">
        <v>28.8</v>
      </c>
      <c r="V60" t="str" cm="1">
        <f t="array" ref="V6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60" t="s">
        <v>21</v>
      </c>
      <c r="X60">
        <v>0</v>
      </c>
      <c r="Y60">
        <v>0</v>
      </c>
      <c r="Z60" s="5">
        <f>IF(Merge1[[#This Row],[loan_applications.defaulted]]=0,Merge1[[#This Row],[loan_applications.loan_amount]]*(Merge1[[#This Row],[loan_applications.interest_rate]]/100)*(Merge1[[#This Row],[loan_applications.term_months]]/12),0)</f>
        <v>6113.88</v>
      </c>
      <c r="AA60" s="5">
        <f>IF(Merge1[[#This Row],[loan_applications.defaulted]]=1,Merge1[[#This Row],[loan_applications.loan_amount]],0)</f>
        <v>0</v>
      </c>
    </row>
    <row r="61" spans="1:27" x14ac:dyDescent="0.35">
      <c r="A61" t="s">
        <v>172</v>
      </c>
      <c r="B61" t="s">
        <v>173</v>
      </c>
      <c r="C61" s="1">
        <v>45498</v>
      </c>
      <c r="D61">
        <v>34</v>
      </c>
      <c r="E61" t="s">
        <v>95</v>
      </c>
      <c r="F61" t="s">
        <v>15</v>
      </c>
      <c r="G61" t="s">
        <v>26</v>
      </c>
      <c r="H61">
        <v>13</v>
      </c>
      <c r="I61" s="5">
        <v>57034</v>
      </c>
      <c r="J61" t="str" cm="1">
        <f t="array" ref="J6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1">
        <v>842</v>
      </c>
      <c r="L61" t="s">
        <v>17</v>
      </c>
      <c r="M61">
        <v>1</v>
      </c>
      <c r="N61">
        <v>1734</v>
      </c>
      <c r="O61" t="str" cm="1">
        <f t="array" ref="O6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61" t="s">
        <v>50</v>
      </c>
      <c r="Q61" s="5">
        <v>15600</v>
      </c>
      <c r="R61">
        <v>12</v>
      </c>
      <c r="S61">
        <v>6.86</v>
      </c>
      <c r="T61">
        <v>1348.81</v>
      </c>
      <c r="U61">
        <v>64.900000000000006</v>
      </c>
      <c r="V61" t="str" cm="1">
        <f t="array" ref="V6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61" t="s">
        <v>41</v>
      </c>
      <c r="X61">
        <v>0</v>
      </c>
      <c r="Y61">
        <v>0</v>
      </c>
      <c r="Z61" s="5">
        <f>IF(Merge1[[#This Row],[loan_applications.defaulted]]=0,Merge1[[#This Row],[loan_applications.loan_amount]]*(Merge1[[#This Row],[loan_applications.interest_rate]]/100)*(Merge1[[#This Row],[loan_applications.term_months]]/12),0)</f>
        <v>1070.1600000000001</v>
      </c>
      <c r="AA61" s="5">
        <f>IF(Merge1[[#This Row],[loan_applications.defaulted]]=1,Merge1[[#This Row],[loan_applications.loan_amount]],0)</f>
        <v>0</v>
      </c>
    </row>
    <row r="62" spans="1:27" x14ac:dyDescent="0.35">
      <c r="A62" t="s">
        <v>174</v>
      </c>
      <c r="B62" t="s">
        <v>175</v>
      </c>
      <c r="C62" s="1">
        <v>45663</v>
      </c>
      <c r="D62">
        <v>34</v>
      </c>
      <c r="E62" t="s">
        <v>14</v>
      </c>
      <c r="F62" t="s">
        <v>62</v>
      </c>
      <c r="G62" t="s">
        <v>26</v>
      </c>
      <c r="H62">
        <v>10</v>
      </c>
      <c r="I62" s="5">
        <v>88890</v>
      </c>
      <c r="J62" t="str" cm="1">
        <f t="array" ref="J6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62">
        <v>615</v>
      </c>
      <c r="L62" t="s">
        <v>17</v>
      </c>
      <c r="M62">
        <v>2</v>
      </c>
      <c r="N62">
        <v>3222</v>
      </c>
      <c r="O62" t="str" cm="1">
        <f t="array" ref="O6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62" t="s">
        <v>50</v>
      </c>
      <c r="Q62" s="5">
        <v>7900</v>
      </c>
      <c r="R62">
        <v>12</v>
      </c>
      <c r="S62">
        <v>13.28</v>
      </c>
      <c r="T62">
        <v>706.64</v>
      </c>
      <c r="U62">
        <v>53</v>
      </c>
      <c r="V62" t="str" cm="1">
        <f t="array" ref="V6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62" t="s">
        <v>24</v>
      </c>
      <c r="X62">
        <v>128</v>
      </c>
      <c r="Y62">
        <v>1</v>
      </c>
      <c r="Z6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62" s="5">
        <f>IF(Merge1[[#This Row],[loan_applications.defaulted]]=1,Merge1[[#This Row],[loan_applications.loan_amount]],0)</f>
        <v>7900</v>
      </c>
    </row>
    <row r="63" spans="1:27" x14ac:dyDescent="0.35">
      <c r="A63" t="s">
        <v>176</v>
      </c>
      <c r="B63" t="s">
        <v>177</v>
      </c>
      <c r="C63" s="1">
        <v>45466</v>
      </c>
      <c r="D63">
        <v>28</v>
      </c>
      <c r="E63" t="s">
        <v>51</v>
      </c>
      <c r="F63" t="s">
        <v>62</v>
      </c>
      <c r="G63" t="s">
        <v>26</v>
      </c>
      <c r="H63">
        <v>7</v>
      </c>
      <c r="I63" s="5">
        <v>123592</v>
      </c>
      <c r="J63" t="str" cm="1">
        <f t="array" ref="J6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63">
        <v>815</v>
      </c>
      <c r="L63" t="s">
        <v>27</v>
      </c>
      <c r="M63">
        <v>3</v>
      </c>
      <c r="N63">
        <v>1139</v>
      </c>
      <c r="O63" t="str" cm="1">
        <f t="array" ref="O6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63" t="s">
        <v>30</v>
      </c>
      <c r="Q63" s="5">
        <v>9700</v>
      </c>
      <c r="R63">
        <v>60</v>
      </c>
      <c r="S63">
        <v>8.32</v>
      </c>
      <c r="T63">
        <v>198.17</v>
      </c>
      <c r="U63">
        <v>13</v>
      </c>
      <c r="V63" t="str" cm="1">
        <f t="array" ref="V6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63" t="s">
        <v>91</v>
      </c>
      <c r="X63">
        <v>0</v>
      </c>
      <c r="Y63">
        <v>0</v>
      </c>
      <c r="Z63" s="5">
        <f>IF(Merge1[[#This Row],[loan_applications.defaulted]]=0,Merge1[[#This Row],[loan_applications.loan_amount]]*(Merge1[[#This Row],[loan_applications.interest_rate]]/100)*(Merge1[[#This Row],[loan_applications.term_months]]/12),0)</f>
        <v>4035.2</v>
      </c>
      <c r="AA63" s="5">
        <f>IF(Merge1[[#This Row],[loan_applications.defaulted]]=1,Merge1[[#This Row],[loan_applications.loan_amount]],0)</f>
        <v>0</v>
      </c>
    </row>
    <row r="64" spans="1:27" x14ac:dyDescent="0.35">
      <c r="A64" t="s">
        <v>178</v>
      </c>
      <c r="B64" t="s">
        <v>179</v>
      </c>
      <c r="C64" s="1">
        <v>45748</v>
      </c>
      <c r="D64">
        <v>30</v>
      </c>
      <c r="E64" t="s">
        <v>14</v>
      </c>
      <c r="F64" t="s">
        <v>62</v>
      </c>
      <c r="G64" t="s">
        <v>16</v>
      </c>
      <c r="H64">
        <v>5</v>
      </c>
      <c r="I64" s="5">
        <v>139361</v>
      </c>
      <c r="J64" t="str" cm="1">
        <f t="array" ref="J6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64">
        <v>850</v>
      </c>
      <c r="L64" t="s">
        <v>17</v>
      </c>
      <c r="M64">
        <v>1</v>
      </c>
      <c r="N64">
        <v>5313</v>
      </c>
      <c r="O64" t="str" cm="1">
        <f t="array" ref="O6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64" t="s">
        <v>50</v>
      </c>
      <c r="Q64" s="5">
        <v>36200</v>
      </c>
      <c r="R64">
        <v>48</v>
      </c>
      <c r="S64">
        <v>7.37</v>
      </c>
      <c r="T64">
        <v>873.08</v>
      </c>
      <c r="U64">
        <v>53.3</v>
      </c>
      <c r="V64" t="str" cm="1">
        <f t="array" ref="V6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64" t="s">
        <v>21</v>
      </c>
      <c r="X64">
        <v>0</v>
      </c>
      <c r="Y64">
        <v>0</v>
      </c>
      <c r="Z64" s="5">
        <f>IF(Merge1[[#This Row],[loan_applications.defaulted]]=0,Merge1[[#This Row],[loan_applications.loan_amount]]*(Merge1[[#This Row],[loan_applications.interest_rate]]/100)*(Merge1[[#This Row],[loan_applications.term_months]]/12),0)</f>
        <v>10671.76</v>
      </c>
      <c r="AA64" s="5">
        <f>IF(Merge1[[#This Row],[loan_applications.defaulted]]=1,Merge1[[#This Row],[loan_applications.loan_amount]],0)</f>
        <v>0</v>
      </c>
    </row>
    <row r="65" spans="1:27" x14ac:dyDescent="0.35">
      <c r="A65" t="s">
        <v>180</v>
      </c>
      <c r="B65" t="s">
        <v>181</v>
      </c>
      <c r="C65" s="1">
        <v>45802</v>
      </c>
      <c r="D65">
        <v>54</v>
      </c>
      <c r="E65" t="s">
        <v>169</v>
      </c>
      <c r="F65" t="s">
        <v>32</v>
      </c>
      <c r="G65" t="s">
        <v>33</v>
      </c>
      <c r="H65">
        <v>30</v>
      </c>
      <c r="I65" s="5">
        <v>69049</v>
      </c>
      <c r="J65" t="str" cm="1">
        <f t="array" ref="J6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5">
        <v>616</v>
      </c>
      <c r="L65" t="s">
        <v>34</v>
      </c>
      <c r="M65">
        <v>0</v>
      </c>
      <c r="N65">
        <v>2122</v>
      </c>
      <c r="O65" t="str" cm="1">
        <f t="array" ref="O6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65" t="s">
        <v>60</v>
      </c>
      <c r="Q65" s="5">
        <v>14100</v>
      </c>
      <c r="R65">
        <v>48</v>
      </c>
      <c r="S65">
        <v>12.22</v>
      </c>
      <c r="T65">
        <v>372.83</v>
      </c>
      <c r="U65">
        <v>43.4</v>
      </c>
      <c r="V65" t="str" cm="1">
        <f t="array" ref="V6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65" t="s">
        <v>21</v>
      </c>
      <c r="X65">
        <v>0</v>
      </c>
      <c r="Y65">
        <v>0</v>
      </c>
      <c r="Z65" s="5">
        <f>IF(Merge1[[#This Row],[loan_applications.defaulted]]=0,Merge1[[#This Row],[loan_applications.loan_amount]]*(Merge1[[#This Row],[loan_applications.interest_rate]]/100)*(Merge1[[#This Row],[loan_applications.term_months]]/12),0)</f>
        <v>6892.08</v>
      </c>
      <c r="AA65" s="5">
        <f>IF(Merge1[[#This Row],[loan_applications.defaulted]]=1,Merge1[[#This Row],[loan_applications.loan_amount]],0)</f>
        <v>0</v>
      </c>
    </row>
    <row r="66" spans="1:27" x14ac:dyDescent="0.35">
      <c r="A66" t="s">
        <v>182</v>
      </c>
      <c r="B66" t="s">
        <v>181</v>
      </c>
      <c r="C66" s="1">
        <v>45373</v>
      </c>
      <c r="D66">
        <v>54</v>
      </c>
      <c r="E66" t="s">
        <v>169</v>
      </c>
      <c r="F66" t="s">
        <v>32</v>
      </c>
      <c r="G66" t="s">
        <v>33</v>
      </c>
      <c r="H66">
        <v>30</v>
      </c>
      <c r="I66" s="5">
        <v>69049</v>
      </c>
      <c r="J66" t="str" cm="1">
        <f t="array" ref="J6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6">
        <v>616</v>
      </c>
      <c r="L66" t="s">
        <v>34</v>
      </c>
      <c r="M66">
        <v>0</v>
      </c>
      <c r="N66">
        <v>2122</v>
      </c>
      <c r="O66" t="str" cm="1">
        <f t="array" ref="O6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66" t="s">
        <v>56</v>
      </c>
      <c r="Q66" s="5">
        <v>26200</v>
      </c>
      <c r="R66">
        <v>48</v>
      </c>
      <c r="S66">
        <v>11.78</v>
      </c>
      <c r="T66">
        <v>687.12</v>
      </c>
      <c r="U66">
        <v>48.8</v>
      </c>
      <c r="V66" t="str" cm="1">
        <f t="array" ref="V6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66" t="s">
        <v>21</v>
      </c>
      <c r="X66">
        <v>0</v>
      </c>
      <c r="Y66">
        <v>0</v>
      </c>
      <c r="Z66" s="5">
        <f>IF(Merge1[[#This Row],[loan_applications.defaulted]]=0,Merge1[[#This Row],[loan_applications.loan_amount]]*(Merge1[[#This Row],[loan_applications.interest_rate]]/100)*(Merge1[[#This Row],[loan_applications.term_months]]/12),0)</f>
        <v>12345.439999999999</v>
      </c>
      <c r="AA66" s="5">
        <f>IF(Merge1[[#This Row],[loan_applications.defaulted]]=1,Merge1[[#This Row],[loan_applications.loan_amount]],0)</f>
        <v>0</v>
      </c>
    </row>
    <row r="67" spans="1:27" x14ac:dyDescent="0.35">
      <c r="A67" t="s">
        <v>183</v>
      </c>
      <c r="B67" t="s">
        <v>184</v>
      </c>
      <c r="C67" s="1">
        <v>45649</v>
      </c>
      <c r="D67">
        <v>55</v>
      </c>
      <c r="E67" t="s">
        <v>118</v>
      </c>
      <c r="F67" t="s">
        <v>32</v>
      </c>
      <c r="G67" t="s">
        <v>26</v>
      </c>
      <c r="H67">
        <v>15</v>
      </c>
      <c r="I67" s="5">
        <v>68663</v>
      </c>
      <c r="J67" t="str" cm="1">
        <f t="array" ref="J6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7">
        <v>681</v>
      </c>
      <c r="L67" t="s">
        <v>34</v>
      </c>
      <c r="M67">
        <v>3</v>
      </c>
      <c r="N67">
        <v>516</v>
      </c>
      <c r="O67" t="str" cm="1">
        <f t="array" ref="O6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67" t="s">
        <v>30</v>
      </c>
      <c r="Q67" s="5">
        <v>12000</v>
      </c>
      <c r="R67">
        <v>24</v>
      </c>
      <c r="S67">
        <v>9.39</v>
      </c>
      <c r="T67">
        <v>550.37</v>
      </c>
      <c r="U67">
        <v>18.600000000000001</v>
      </c>
      <c r="V67" t="str" cm="1">
        <f t="array" ref="V6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67" t="s">
        <v>24</v>
      </c>
      <c r="X67">
        <v>38</v>
      </c>
      <c r="Y67">
        <v>1</v>
      </c>
      <c r="Z6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67" s="5">
        <f>IF(Merge1[[#This Row],[loan_applications.defaulted]]=1,Merge1[[#This Row],[loan_applications.loan_amount]],0)</f>
        <v>12000</v>
      </c>
    </row>
    <row r="68" spans="1:27" x14ac:dyDescent="0.35">
      <c r="A68" t="s">
        <v>185</v>
      </c>
      <c r="B68" t="s">
        <v>186</v>
      </c>
      <c r="C68" s="1">
        <v>45474</v>
      </c>
      <c r="D68">
        <v>31</v>
      </c>
      <c r="E68" t="s">
        <v>109</v>
      </c>
      <c r="F68" t="s">
        <v>68</v>
      </c>
      <c r="G68" t="s">
        <v>16</v>
      </c>
      <c r="H68">
        <v>6</v>
      </c>
      <c r="I68" s="5">
        <v>62036</v>
      </c>
      <c r="J68" t="str" cm="1">
        <f t="array" ref="J6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68">
        <v>567</v>
      </c>
      <c r="L68" t="s">
        <v>34</v>
      </c>
      <c r="M68">
        <v>1</v>
      </c>
      <c r="N68">
        <v>419</v>
      </c>
      <c r="O68" t="str" cm="1">
        <f t="array" ref="O6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68" t="s">
        <v>71</v>
      </c>
      <c r="Q68" s="5">
        <v>37700</v>
      </c>
      <c r="R68">
        <v>12</v>
      </c>
      <c r="S68">
        <v>11.09</v>
      </c>
      <c r="T68">
        <v>3333.57</v>
      </c>
      <c r="U68">
        <v>72.599999999999994</v>
      </c>
      <c r="V68" t="str" cm="1">
        <f t="array" ref="V6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68" t="s">
        <v>24</v>
      </c>
      <c r="X68">
        <v>102</v>
      </c>
      <c r="Y68">
        <v>1</v>
      </c>
      <c r="Z6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68" s="5">
        <f>IF(Merge1[[#This Row],[loan_applications.defaulted]]=1,Merge1[[#This Row],[loan_applications.loan_amount]],0)</f>
        <v>37700</v>
      </c>
    </row>
    <row r="69" spans="1:27" x14ac:dyDescent="0.35">
      <c r="A69" t="s">
        <v>187</v>
      </c>
      <c r="B69" t="s">
        <v>188</v>
      </c>
      <c r="C69" s="1">
        <v>45660</v>
      </c>
      <c r="D69">
        <v>48</v>
      </c>
      <c r="E69" t="s">
        <v>157</v>
      </c>
      <c r="F69" t="s">
        <v>32</v>
      </c>
      <c r="G69" t="s">
        <v>16</v>
      </c>
      <c r="H69">
        <v>27</v>
      </c>
      <c r="I69" s="5">
        <v>100958</v>
      </c>
      <c r="J69" t="str" cm="1">
        <f t="array" ref="J6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9">
        <v>555</v>
      </c>
      <c r="L69" t="s">
        <v>17</v>
      </c>
      <c r="M69">
        <v>1</v>
      </c>
      <c r="N69">
        <v>445</v>
      </c>
      <c r="O69" t="str" cm="1">
        <f t="array" ref="O6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69" t="s">
        <v>71</v>
      </c>
      <c r="Q69" s="5">
        <v>29000</v>
      </c>
      <c r="R69">
        <v>48</v>
      </c>
      <c r="S69">
        <v>14.5</v>
      </c>
      <c r="T69">
        <v>799.76</v>
      </c>
      <c r="U69">
        <v>14.8</v>
      </c>
      <c r="V69" t="str" cm="1">
        <f t="array" ref="V6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69" t="s">
        <v>41</v>
      </c>
      <c r="X69">
        <v>0</v>
      </c>
      <c r="Y69">
        <v>0</v>
      </c>
      <c r="Z69" s="5">
        <f>IF(Merge1[[#This Row],[loan_applications.defaulted]]=0,Merge1[[#This Row],[loan_applications.loan_amount]]*(Merge1[[#This Row],[loan_applications.interest_rate]]/100)*(Merge1[[#This Row],[loan_applications.term_months]]/12),0)</f>
        <v>16820</v>
      </c>
      <c r="AA69" s="5">
        <f>IF(Merge1[[#This Row],[loan_applications.defaulted]]=1,Merge1[[#This Row],[loan_applications.loan_amount]],0)</f>
        <v>0</v>
      </c>
    </row>
    <row r="70" spans="1:27" x14ac:dyDescent="0.35">
      <c r="A70" t="s">
        <v>189</v>
      </c>
      <c r="B70" t="s">
        <v>190</v>
      </c>
      <c r="C70" s="1">
        <v>45774</v>
      </c>
      <c r="D70">
        <v>44</v>
      </c>
      <c r="E70" t="s">
        <v>109</v>
      </c>
      <c r="F70" t="s">
        <v>68</v>
      </c>
      <c r="G70" t="s">
        <v>26</v>
      </c>
      <c r="H70">
        <v>17</v>
      </c>
      <c r="I70" s="5">
        <v>70593</v>
      </c>
      <c r="J70" t="str" cm="1">
        <f t="array" ref="J7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70">
        <v>749</v>
      </c>
      <c r="L70" t="s">
        <v>17</v>
      </c>
      <c r="M70">
        <v>2</v>
      </c>
      <c r="N70">
        <v>2934</v>
      </c>
      <c r="O70" t="str" cm="1">
        <f t="array" ref="O7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70" t="s">
        <v>23</v>
      </c>
      <c r="Q70" s="5">
        <v>38400</v>
      </c>
      <c r="R70">
        <v>60</v>
      </c>
      <c r="S70">
        <v>7.84</v>
      </c>
      <c r="T70">
        <v>775.68</v>
      </c>
      <c r="U70">
        <v>63.1</v>
      </c>
      <c r="V70" t="str" cm="1">
        <f t="array" ref="V7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70" t="s">
        <v>24</v>
      </c>
      <c r="X70">
        <v>100</v>
      </c>
      <c r="Y70">
        <v>1</v>
      </c>
      <c r="Z7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70" s="5">
        <f>IF(Merge1[[#This Row],[loan_applications.defaulted]]=1,Merge1[[#This Row],[loan_applications.loan_amount]],0)</f>
        <v>38400</v>
      </c>
    </row>
    <row r="71" spans="1:27" x14ac:dyDescent="0.35">
      <c r="A71" t="s">
        <v>191</v>
      </c>
      <c r="B71" t="s">
        <v>192</v>
      </c>
      <c r="C71" s="1">
        <v>45833</v>
      </c>
      <c r="D71">
        <v>53</v>
      </c>
      <c r="E71" t="s">
        <v>46</v>
      </c>
      <c r="F71" t="s">
        <v>68</v>
      </c>
      <c r="G71" t="s">
        <v>26</v>
      </c>
      <c r="H71">
        <v>25</v>
      </c>
      <c r="I71" s="5">
        <v>30740</v>
      </c>
      <c r="J71" t="str" cm="1">
        <f t="array" ref="J7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71">
        <v>697</v>
      </c>
      <c r="L71" t="s">
        <v>17</v>
      </c>
      <c r="M71">
        <v>1</v>
      </c>
      <c r="N71">
        <v>291</v>
      </c>
      <c r="O71" t="str" cm="1">
        <f t="array" ref="O7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71" t="s">
        <v>23</v>
      </c>
      <c r="Q71" s="5">
        <v>20500</v>
      </c>
      <c r="R71">
        <v>60</v>
      </c>
      <c r="S71">
        <v>8.67</v>
      </c>
      <c r="T71">
        <v>422.27</v>
      </c>
      <c r="U71">
        <v>27.8</v>
      </c>
      <c r="V71" t="str" cm="1">
        <f t="array" ref="V7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71" t="s">
        <v>91</v>
      </c>
      <c r="X71">
        <v>0</v>
      </c>
      <c r="Y71">
        <v>0</v>
      </c>
      <c r="Z71" s="5">
        <f>IF(Merge1[[#This Row],[loan_applications.defaulted]]=0,Merge1[[#This Row],[loan_applications.loan_amount]]*(Merge1[[#This Row],[loan_applications.interest_rate]]/100)*(Merge1[[#This Row],[loan_applications.term_months]]/12),0)</f>
        <v>8886.75</v>
      </c>
      <c r="AA71" s="5">
        <f>IF(Merge1[[#This Row],[loan_applications.defaulted]]=1,Merge1[[#This Row],[loan_applications.loan_amount]],0)</f>
        <v>0</v>
      </c>
    </row>
    <row r="72" spans="1:27" x14ac:dyDescent="0.35">
      <c r="A72" t="s">
        <v>194</v>
      </c>
      <c r="B72" t="s">
        <v>195</v>
      </c>
      <c r="C72" s="1">
        <v>45654</v>
      </c>
      <c r="D72">
        <v>61</v>
      </c>
      <c r="E72" t="s">
        <v>193</v>
      </c>
      <c r="F72" t="s">
        <v>32</v>
      </c>
      <c r="G72" t="s">
        <v>33</v>
      </c>
      <c r="H72">
        <v>5</v>
      </c>
      <c r="I72" s="5">
        <v>78362</v>
      </c>
      <c r="J72" t="str" cm="1">
        <f t="array" ref="J7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72">
        <v>548</v>
      </c>
      <c r="L72" t="s">
        <v>34</v>
      </c>
      <c r="M72">
        <v>3</v>
      </c>
      <c r="N72">
        <v>919</v>
      </c>
      <c r="O72" t="str" cm="1">
        <f t="array" ref="O7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72" t="s">
        <v>37</v>
      </c>
      <c r="Q72" s="5">
        <v>42700</v>
      </c>
      <c r="R72">
        <v>36</v>
      </c>
      <c r="S72">
        <v>13.49</v>
      </c>
      <c r="T72">
        <v>1448.83</v>
      </c>
      <c r="U72">
        <v>36.299999999999997</v>
      </c>
      <c r="V72" t="str" cm="1">
        <f t="array" ref="V7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72" t="s">
        <v>41</v>
      </c>
      <c r="X72">
        <v>0</v>
      </c>
      <c r="Y72">
        <v>0</v>
      </c>
      <c r="Z72" s="5">
        <f>IF(Merge1[[#This Row],[loan_applications.defaulted]]=0,Merge1[[#This Row],[loan_applications.loan_amount]]*(Merge1[[#This Row],[loan_applications.interest_rate]]/100)*(Merge1[[#This Row],[loan_applications.term_months]]/12),0)</f>
        <v>17280.689999999999</v>
      </c>
      <c r="AA72" s="5">
        <f>IF(Merge1[[#This Row],[loan_applications.defaulted]]=1,Merge1[[#This Row],[loan_applications.loan_amount]],0)</f>
        <v>0</v>
      </c>
    </row>
    <row r="73" spans="1:27" x14ac:dyDescent="0.35">
      <c r="A73" t="s">
        <v>196</v>
      </c>
      <c r="B73" t="s">
        <v>195</v>
      </c>
      <c r="C73" s="1">
        <v>45589</v>
      </c>
      <c r="D73">
        <v>61</v>
      </c>
      <c r="E73" t="s">
        <v>193</v>
      </c>
      <c r="F73" t="s">
        <v>32</v>
      </c>
      <c r="G73" t="s">
        <v>33</v>
      </c>
      <c r="H73">
        <v>5</v>
      </c>
      <c r="I73" s="5">
        <v>78362</v>
      </c>
      <c r="J73" t="str" cm="1">
        <f t="array" ref="J7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73">
        <v>548</v>
      </c>
      <c r="L73" t="s">
        <v>34</v>
      </c>
      <c r="M73">
        <v>3</v>
      </c>
      <c r="N73">
        <v>919</v>
      </c>
      <c r="O73" t="str" cm="1">
        <f t="array" ref="O7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73" t="s">
        <v>20</v>
      </c>
      <c r="Q73" s="5">
        <v>10600</v>
      </c>
      <c r="R73">
        <v>60</v>
      </c>
      <c r="S73">
        <v>12.03</v>
      </c>
      <c r="T73">
        <v>235.95</v>
      </c>
      <c r="U73">
        <v>17.7</v>
      </c>
      <c r="V73" t="str" cm="1">
        <f t="array" ref="V7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73" t="s">
        <v>41</v>
      </c>
      <c r="X73">
        <v>0</v>
      </c>
      <c r="Y73">
        <v>0</v>
      </c>
      <c r="Z73" s="5">
        <f>IF(Merge1[[#This Row],[loan_applications.defaulted]]=0,Merge1[[#This Row],[loan_applications.loan_amount]]*(Merge1[[#This Row],[loan_applications.interest_rate]]/100)*(Merge1[[#This Row],[loan_applications.term_months]]/12),0)</f>
        <v>6375.9</v>
      </c>
      <c r="AA73" s="5">
        <f>IF(Merge1[[#This Row],[loan_applications.defaulted]]=1,Merge1[[#This Row],[loan_applications.loan_amount]],0)</f>
        <v>0</v>
      </c>
    </row>
    <row r="74" spans="1:27" x14ac:dyDescent="0.35">
      <c r="A74" t="s">
        <v>197</v>
      </c>
      <c r="B74" t="s">
        <v>198</v>
      </c>
      <c r="C74" s="1">
        <v>45715</v>
      </c>
      <c r="D74">
        <v>38</v>
      </c>
      <c r="E74" t="s">
        <v>46</v>
      </c>
      <c r="F74" t="s">
        <v>32</v>
      </c>
      <c r="G74" t="s">
        <v>26</v>
      </c>
      <c r="H74">
        <v>8</v>
      </c>
      <c r="I74" s="5">
        <v>61452</v>
      </c>
      <c r="J74" t="str" cm="1">
        <f t="array" ref="J7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74">
        <v>729</v>
      </c>
      <c r="L74" t="s">
        <v>17</v>
      </c>
      <c r="M74">
        <v>1</v>
      </c>
      <c r="N74">
        <v>2393</v>
      </c>
      <c r="O74" t="str" cm="1">
        <f t="array" ref="O7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74" t="s">
        <v>54</v>
      </c>
      <c r="Q74" s="5">
        <v>12000</v>
      </c>
      <c r="R74">
        <v>60</v>
      </c>
      <c r="S74">
        <v>12.84</v>
      </c>
      <c r="T74">
        <v>272.06</v>
      </c>
      <c r="U74">
        <v>52</v>
      </c>
      <c r="V74" t="str" cm="1">
        <f t="array" ref="V7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74" t="s">
        <v>24</v>
      </c>
      <c r="X74">
        <v>119</v>
      </c>
      <c r="Y74">
        <v>1</v>
      </c>
      <c r="Z7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74" s="5">
        <f>IF(Merge1[[#This Row],[loan_applications.defaulted]]=1,Merge1[[#This Row],[loan_applications.loan_amount]],0)</f>
        <v>12000</v>
      </c>
    </row>
    <row r="75" spans="1:27" x14ac:dyDescent="0.35">
      <c r="A75" t="s">
        <v>199</v>
      </c>
      <c r="B75" t="s">
        <v>200</v>
      </c>
      <c r="C75" s="1">
        <v>45361</v>
      </c>
      <c r="D75">
        <v>52</v>
      </c>
      <c r="E75" t="s">
        <v>169</v>
      </c>
      <c r="F75" t="s">
        <v>15</v>
      </c>
      <c r="G75" t="s">
        <v>26</v>
      </c>
      <c r="H75">
        <v>14</v>
      </c>
      <c r="I75" s="5">
        <v>57596</v>
      </c>
      <c r="J75" t="str" cm="1">
        <f t="array" ref="J7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75">
        <v>709</v>
      </c>
      <c r="L75" t="s">
        <v>17</v>
      </c>
      <c r="M75">
        <v>4</v>
      </c>
      <c r="N75">
        <v>336</v>
      </c>
      <c r="O75" t="str" cm="1">
        <f t="array" ref="O7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75" t="s">
        <v>56</v>
      </c>
      <c r="Q75" s="5">
        <v>5200</v>
      </c>
      <c r="R75">
        <v>36</v>
      </c>
      <c r="S75">
        <v>9.4600000000000009</v>
      </c>
      <c r="T75">
        <v>166.47</v>
      </c>
      <c r="U75">
        <v>10.5</v>
      </c>
      <c r="V75" t="str" cm="1">
        <f t="array" ref="V7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75" t="s">
        <v>41</v>
      </c>
      <c r="X75">
        <v>0</v>
      </c>
      <c r="Y75">
        <v>0</v>
      </c>
      <c r="Z75" s="5">
        <f>IF(Merge1[[#This Row],[loan_applications.defaulted]]=0,Merge1[[#This Row],[loan_applications.loan_amount]]*(Merge1[[#This Row],[loan_applications.interest_rate]]/100)*(Merge1[[#This Row],[loan_applications.term_months]]/12),0)</f>
        <v>1475.76</v>
      </c>
      <c r="AA75" s="5">
        <f>IF(Merge1[[#This Row],[loan_applications.defaulted]]=1,Merge1[[#This Row],[loan_applications.loan_amount]],0)</f>
        <v>0</v>
      </c>
    </row>
    <row r="76" spans="1:27" x14ac:dyDescent="0.35">
      <c r="A76" t="s">
        <v>201</v>
      </c>
      <c r="B76" t="s">
        <v>202</v>
      </c>
      <c r="C76" s="1">
        <v>45471</v>
      </c>
      <c r="D76">
        <v>23</v>
      </c>
      <c r="E76" t="s">
        <v>125</v>
      </c>
      <c r="F76" t="s">
        <v>62</v>
      </c>
      <c r="G76" t="s">
        <v>26</v>
      </c>
      <c r="H76">
        <v>1</v>
      </c>
      <c r="I76" s="5">
        <v>56348</v>
      </c>
      <c r="J76" t="str" cm="1">
        <f t="array" ref="J7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76">
        <v>608</v>
      </c>
      <c r="L76" t="s">
        <v>27</v>
      </c>
      <c r="M76">
        <v>0</v>
      </c>
      <c r="N76">
        <v>2459</v>
      </c>
      <c r="O76" t="str" cm="1">
        <f t="array" ref="O7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76" t="s">
        <v>45</v>
      </c>
      <c r="Q76" s="5">
        <v>29500</v>
      </c>
      <c r="R76">
        <v>60</v>
      </c>
      <c r="S76">
        <v>14.67</v>
      </c>
      <c r="T76">
        <v>696.7</v>
      </c>
      <c r="U76">
        <v>67.2</v>
      </c>
      <c r="V76" t="str" cm="1">
        <f t="array" ref="V7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76" t="s">
        <v>24</v>
      </c>
      <c r="X76">
        <v>116</v>
      </c>
      <c r="Y76">
        <v>1</v>
      </c>
      <c r="Z7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76" s="5">
        <f>IF(Merge1[[#This Row],[loan_applications.defaulted]]=1,Merge1[[#This Row],[loan_applications.loan_amount]],0)</f>
        <v>29500</v>
      </c>
    </row>
    <row r="77" spans="1:27" x14ac:dyDescent="0.35">
      <c r="A77" t="s">
        <v>204</v>
      </c>
      <c r="B77" t="s">
        <v>205</v>
      </c>
      <c r="C77" s="1">
        <v>45763</v>
      </c>
      <c r="D77">
        <v>51</v>
      </c>
      <c r="E77" t="s">
        <v>203</v>
      </c>
      <c r="F77" t="s">
        <v>32</v>
      </c>
      <c r="G77" t="s">
        <v>16</v>
      </c>
      <c r="H77">
        <v>7</v>
      </c>
      <c r="I77" s="5">
        <v>51304</v>
      </c>
      <c r="J77" t="str" cm="1">
        <f t="array" ref="J7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77">
        <v>840</v>
      </c>
      <c r="L77" t="s">
        <v>17</v>
      </c>
      <c r="M77">
        <v>4</v>
      </c>
      <c r="N77">
        <v>444</v>
      </c>
      <c r="O77" t="str" cm="1">
        <f t="array" ref="O7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77" t="s">
        <v>20</v>
      </c>
      <c r="Q77" s="5">
        <v>40300</v>
      </c>
      <c r="R77">
        <v>24</v>
      </c>
      <c r="S77">
        <v>8.41</v>
      </c>
      <c r="T77">
        <v>1830.2</v>
      </c>
      <c r="U77">
        <v>53.2</v>
      </c>
      <c r="V77" t="str" cm="1">
        <f t="array" ref="V7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77" t="s">
        <v>41</v>
      </c>
      <c r="X77">
        <v>0</v>
      </c>
      <c r="Y77">
        <v>0</v>
      </c>
      <c r="Z77" s="5">
        <f>IF(Merge1[[#This Row],[loan_applications.defaulted]]=0,Merge1[[#This Row],[loan_applications.loan_amount]]*(Merge1[[#This Row],[loan_applications.interest_rate]]/100)*(Merge1[[#This Row],[loan_applications.term_months]]/12),0)</f>
        <v>6778.4600000000009</v>
      </c>
      <c r="AA77" s="5">
        <f>IF(Merge1[[#This Row],[loan_applications.defaulted]]=1,Merge1[[#This Row],[loan_applications.loan_amount]],0)</f>
        <v>0</v>
      </c>
    </row>
    <row r="78" spans="1:27" x14ac:dyDescent="0.35">
      <c r="A78" t="s">
        <v>206</v>
      </c>
      <c r="B78" t="s">
        <v>205</v>
      </c>
      <c r="C78" s="1">
        <v>45615</v>
      </c>
      <c r="D78">
        <v>51</v>
      </c>
      <c r="E78" t="s">
        <v>203</v>
      </c>
      <c r="F78" t="s">
        <v>32</v>
      </c>
      <c r="G78" t="s">
        <v>16</v>
      </c>
      <c r="H78">
        <v>7</v>
      </c>
      <c r="I78" s="5">
        <v>51304</v>
      </c>
      <c r="J78" t="str" cm="1">
        <f t="array" ref="J7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78">
        <v>840</v>
      </c>
      <c r="L78" t="s">
        <v>17</v>
      </c>
      <c r="M78">
        <v>4</v>
      </c>
      <c r="N78">
        <v>444</v>
      </c>
      <c r="O78" t="str" cm="1">
        <f t="array" ref="O7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78" t="s">
        <v>23</v>
      </c>
      <c r="Q78" s="5">
        <v>4700</v>
      </c>
      <c r="R78">
        <v>60</v>
      </c>
      <c r="S78">
        <v>7.5</v>
      </c>
      <c r="T78">
        <v>94.18</v>
      </c>
      <c r="U78">
        <v>12.6</v>
      </c>
      <c r="V78" t="str" cm="1">
        <f t="array" ref="V7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78" t="s">
        <v>41</v>
      </c>
      <c r="X78">
        <v>0</v>
      </c>
      <c r="Y78">
        <v>0</v>
      </c>
      <c r="Z78" s="5">
        <f>IF(Merge1[[#This Row],[loan_applications.defaulted]]=0,Merge1[[#This Row],[loan_applications.loan_amount]]*(Merge1[[#This Row],[loan_applications.interest_rate]]/100)*(Merge1[[#This Row],[loan_applications.term_months]]/12),0)</f>
        <v>1762.5</v>
      </c>
      <c r="AA78" s="5">
        <f>IF(Merge1[[#This Row],[loan_applications.defaulted]]=1,Merge1[[#This Row],[loan_applications.loan_amount]],0)</f>
        <v>0</v>
      </c>
    </row>
    <row r="79" spans="1:27" x14ac:dyDescent="0.35">
      <c r="A79" t="s">
        <v>207</v>
      </c>
      <c r="B79" t="s">
        <v>208</v>
      </c>
      <c r="C79" s="1">
        <v>45676</v>
      </c>
      <c r="D79">
        <v>23</v>
      </c>
      <c r="E79" t="s">
        <v>105</v>
      </c>
      <c r="F79" t="s">
        <v>62</v>
      </c>
      <c r="G79" t="s">
        <v>63</v>
      </c>
      <c r="H79">
        <v>3</v>
      </c>
      <c r="I79" s="5">
        <v>72879</v>
      </c>
      <c r="J79" t="str" cm="1">
        <f t="array" ref="J7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79">
        <v>727</v>
      </c>
      <c r="L79" t="s">
        <v>17</v>
      </c>
      <c r="M79">
        <v>0</v>
      </c>
      <c r="N79">
        <v>2400</v>
      </c>
      <c r="O79" t="str" cm="1">
        <f t="array" ref="O7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79" t="s">
        <v>45</v>
      </c>
      <c r="Q79" s="5">
        <v>5800</v>
      </c>
      <c r="R79">
        <v>12</v>
      </c>
      <c r="S79">
        <v>9.58</v>
      </c>
      <c r="T79">
        <v>508.78</v>
      </c>
      <c r="U79">
        <v>47.9</v>
      </c>
      <c r="V79" t="str" cm="1">
        <f t="array" ref="V7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79" t="s">
        <v>41</v>
      </c>
      <c r="X79">
        <v>0</v>
      </c>
      <c r="Y79">
        <v>0</v>
      </c>
      <c r="Z79" s="5">
        <f>IF(Merge1[[#This Row],[loan_applications.defaulted]]=0,Merge1[[#This Row],[loan_applications.loan_amount]]*(Merge1[[#This Row],[loan_applications.interest_rate]]/100)*(Merge1[[#This Row],[loan_applications.term_months]]/12),0)</f>
        <v>555.64</v>
      </c>
      <c r="AA79" s="5">
        <f>IF(Merge1[[#This Row],[loan_applications.defaulted]]=1,Merge1[[#This Row],[loan_applications.loan_amount]],0)</f>
        <v>0</v>
      </c>
    </row>
    <row r="80" spans="1:27" x14ac:dyDescent="0.35">
      <c r="A80" t="s">
        <v>209</v>
      </c>
      <c r="B80" t="s">
        <v>210</v>
      </c>
      <c r="C80" s="1">
        <v>45614</v>
      </c>
      <c r="D80">
        <v>62</v>
      </c>
      <c r="E80" t="s">
        <v>157</v>
      </c>
      <c r="F80" t="s">
        <v>68</v>
      </c>
      <c r="G80" t="s">
        <v>16</v>
      </c>
      <c r="H80">
        <v>7</v>
      </c>
      <c r="I80" s="5">
        <v>43333</v>
      </c>
      <c r="J80" t="str" cm="1">
        <f t="array" ref="J8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80">
        <v>837</v>
      </c>
      <c r="L80" t="s">
        <v>17</v>
      </c>
      <c r="M80">
        <v>2</v>
      </c>
      <c r="N80">
        <v>807</v>
      </c>
      <c r="O80" t="str" cm="1">
        <f t="array" ref="O8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80" t="s">
        <v>71</v>
      </c>
      <c r="Q80" s="5">
        <v>15400</v>
      </c>
      <c r="R80">
        <v>36</v>
      </c>
      <c r="S80">
        <v>9.58</v>
      </c>
      <c r="T80">
        <v>493.88</v>
      </c>
      <c r="U80">
        <v>36</v>
      </c>
      <c r="V80" t="str" cm="1">
        <f t="array" ref="V8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80" t="s">
        <v>41</v>
      </c>
      <c r="X80">
        <v>0</v>
      </c>
      <c r="Y80">
        <v>0</v>
      </c>
      <c r="Z80" s="5">
        <f>IF(Merge1[[#This Row],[loan_applications.defaulted]]=0,Merge1[[#This Row],[loan_applications.loan_amount]]*(Merge1[[#This Row],[loan_applications.interest_rate]]/100)*(Merge1[[#This Row],[loan_applications.term_months]]/12),0)</f>
        <v>4425.96</v>
      </c>
      <c r="AA80" s="5">
        <f>IF(Merge1[[#This Row],[loan_applications.defaulted]]=1,Merge1[[#This Row],[loan_applications.loan_amount]],0)</f>
        <v>0</v>
      </c>
    </row>
    <row r="81" spans="1:27" x14ac:dyDescent="0.35">
      <c r="A81" t="s">
        <v>211</v>
      </c>
      <c r="B81" t="s">
        <v>212</v>
      </c>
      <c r="C81" s="1">
        <v>45471</v>
      </c>
      <c r="D81">
        <v>49</v>
      </c>
      <c r="E81" t="s">
        <v>113</v>
      </c>
      <c r="F81" t="s">
        <v>32</v>
      </c>
      <c r="G81" t="s">
        <v>26</v>
      </c>
      <c r="H81">
        <v>27</v>
      </c>
      <c r="I81" s="5">
        <v>81913</v>
      </c>
      <c r="J81" t="str" cm="1">
        <f t="array" ref="J8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1">
        <v>546</v>
      </c>
      <c r="L81" t="s">
        <v>34</v>
      </c>
      <c r="M81">
        <v>0</v>
      </c>
      <c r="N81">
        <v>3620</v>
      </c>
      <c r="O81" t="str" cm="1">
        <f t="array" ref="O8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81" t="s">
        <v>45</v>
      </c>
      <c r="Q81" s="5">
        <v>47600</v>
      </c>
      <c r="R81">
        <v>24</v>
      </c>
      <c r="S81">
        <v>13.53</v>
      </c>
      <c r="T81">
        <v>2274.86</v>
      </c>
      <c r="U81">
        <v>86.4</v>
      </c>
      <c r="V81" t="str" cm="1">
        <f t="array" ref="V8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81" t="s">
        <v>24</v>
      </c>
      <c r="X81">
        <v>39</v>
      </c>
      <c r="Y81">
        <v>1</v>
      </c>
      <c r="Z8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81" s="5">
        <f>IF(Merge1[[#This Row],[loan_applications.defaulted]]=1,Merge1[[#This Row],[loan_applications.loan_amount]],0)</f>
        <v>47600</v>
      </c>
    </row>
    <row r="82" spans="1:27" x14ac:dyDescent="0.35">
      <c r="A82" t="s">
        <v>213</v>
      </c>
      <c r="B82" t="s">
        <v>212</v>
      </c>
      <c r="C82" s="1">
        <v>45804</v>
      </c>
      <c r="D82">
        <v>49</v>
      </c>
      <c r="E82" t="s">
        <v>113</v>
      </c>
      <c r="F82" t="s">
        <v>32</v>
      </c>
      <c r="G82" t="s">
        <v>26</v>
      </c>
      <c r="H82">
        <v>27</v>
      </c>
      <c r="I82" s="5">
        <v>81913</v>
      </c>
      <c r="J82" t="str" cm="1">
        <f t="array" ref="J8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2">
        <v>546</v>
      </c>
      <c r="L82" t="s">
        <v>34</v>
      </c>
      <c r="M82">
        <v>0</v>
      </c>
      <c r="N82">
        <v>3620</v>
      </c>
      <c r="O82" t="str" cm="1">
        <f t="array" ref="O8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82" t="s">
        <v>56</v>
      </c>
      <c r="Q82" s="5">
        <v>23300</v>
      </c>
      <c r="R82">
        <v>12</v>
      </c>
      <c r="S82">
        <v>14.9</v>
      </c>
      <c r="T82">
        <v>2101.92</v>
      </c>
      <c r="U82">
        <v>83.8</v>
      </c>
      <c r="V82" t="str" cm="1">
        <f t="array" ref="V8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82" t="s">
        <v>24</v>
      </c>
      <c r="X82">
        <v>117</v>
      </c>
      <c r="Y82">
        <v>1</v>
      </c>
      <c r="Z8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82" s="5">
        <f>IF(Merge1[[#This Row],[loan_applications.defaulted]]=1,Merge1[[#This Row],[loan_applications.loan_amount]],0)</f>
        <v>23300</v>
      </c>
    </row>
    <row r="83" spans="1:27" x14ac:dyDescent="0.35">
      <c r="A83" t="s">
        <v>214</v>
      </c>
      <c r="B83" t="s">
        <v>215</v>
      </c>
      <c r="C83" s="1">
        <v>45820</v>
      </c>
      <c r="D83">
        <v>62</v>
      </c>
      <c r="E83" t="s">
        <v>31</v>
      </c>
      <c r="F83" t="s">
        <v>62</v>
      </c>
      <c r="G83" t="s">
        <v>26</v>
      </c>
      <c r="H83">
        <v>33</v>
      </c>
      <c r="I83" s="5">
        <v>67726</v>
      </c>
      <c r="J83" t="str" cm="1">
        <f t="array" ref="J8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3">
        <v>625</v>
      </c>
      <c r="L83" t="s">
        <v>17</v>
      </c>
      <c r="M83">
        <v>2</v>
      </c>
      <c r="N83">
        <v>2877</v>
      </c>
      <c r="O83" t="str" cm="1">
        <f t="array" ref="O8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83" t="s">
        <v>30</v>
      </c>
      <c r="Q83" s="5">
        <v>16300</v>
      </c>
      <c r="R83">
        <v>12</v>
      </c>
      <c r="S83">
        <v>13.69</v>
      </c>
      <c r="T83">
        <v>1461.15</v>
      </c>
      <c r="U83">
        <v>76.900000000000006</v>
      </c>
      <c r="V83" t="str" cm="1">
        <f t="array" ref="V8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83" t="s">
        <v>21</v>
      </c>
      <c r="X83">
        <v>0</v>
      </c>
      <c r="Y83">
        <v>0</v>
      </c>
      <c r="Z83" s="5">
        <f>IF(Merge1[[#This Row],[loan_applications.defaulted]]=0,Merge1[[#This Row],[loan_applications.loan_amount]]*(Merge1[[#This Row],[loan_applications.interest_rate]]/100)*(Merge1[[#This Row],[loan_applications.term_months]]/12),0)</f>
        <v>2231.4699999999998</v>
      </c>
      <c r="AA83" s="5">
        <f>IF(Merge1[[#This Row],[loan_applications.defaulted]]=1,Merge1[[#This Row],[loan_applications.loan_amount]],0)</f>
        <v>0</v>
      </c>
    </row>
    <row r="84" spans="1:27" x14ac:dyDescent="0.35">
      <c r="A84" t="s">
        <v>216</v>
      </c>
      <c r="B84" t="s">
        <v>215</v>
      </c>
      <c r="C84" s="1">
        <v>45337</v>
      </c>
      <c r="D84">
        <v>62</v>
      </c>
      <c r="E84" t="s">
        <v>31</v>
      </c>
      <c r="F84" t="s">
        <v>62</v>
      </c>
      <c r="G84" t="s">
        <v>26</v>
      </c>
      <c r="H84">
        <v>33</v>
      </c>
      <c r="I84" s="5">
        <v>67726</v>
      </c>
      <c r="J84" t="str" cm="1">
        <f t="array" ref="J8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4">
        <v>625</v>
      </c>
      <c r="L84" t="s">
        <v>17</v>
      </c>
      <c r="M84">
        <v>2</v>
      </c>
      <c r="N84">
        <v>2877</v>
      </c>
      <c r="O84" t="str" cm="1">
        <f t="array" ref="O8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84" t="s">
        <v>20</v>
      </c>
      <c r="Q84" s="5">
        <v>43500</v>
      </c>
      <c r="R84">
        <v>12</v>
      </c>
      <c r="S84">
        <v>9.6</v>
      </c>
      <c r="T84">
        <v>3816.25</v>
      </c>
      <c r="U84">
        <v>118.6</v>
      </c>
      <c r="V84" t="str" cm="1">
        <f t="array" ref="V8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84" t="s">
        <v>41</v>
      </c>
      <c r="X84">
        <v>0</v>
      </c>
      <c r="Y84">
        <v>0</v>
      </c>
      <c r="Z84" s="5">
        <f>IF(Merge1[[#This Row],[loan_applications.defaulted]]=0,Merge1[[#This Row],[loan_applications.loan_amount]]*(Merge1[[#This Row],[loan_applications.interest_rate]]/100)*(Merge1[[#This Row],[loan_applications.term_months]]/12),0)</f>
        <v>4176</v>
      </c>
      <c r="AA84" s="5">
        <f>IF(Merge1[[#This Row],[loan_applications.defaulted]]=1,Merge1[[#This Row],[loan_applications.loan_amount]],0)</f>
        <v>0</v>
      </c>
    </row>
    <row r="85" spans="1:27" x14ac:dyDescent="0.35">
      <c r="A85" t="s">
        <v>217</v>
      </c>
      <c r="B85" t="s">
        <v>218</v>
      </c>
      <c r="C85" s="1">
        <v>45611</v>
      </c>
      <c r="D85">
        <v>52</v>
      </c>
      <c r="E85" t="s">
        <v>42</v>
      </c>
      <c r="F85" t="s">
        <v>32</v>
      </c>
      <c r="G85" t="s">
        <v>33</v>
      </c>
      <c r="H85">
        <v>15</v>
      </c>
      <c r="I85" s="5">
        <v>78399</v>
      </c>
      <c r="J85" t="str" cm="1">
        <f t="array" ref="J8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5">
        <v>700</v>
      </c>
      <c r="L85" t="s">
        <v>17</v>
      </c>
      <c r="M85">
        <v>0</v>
      </c>
      <c r="N85">
        <v>1799</v>
      </c>
      <c r="O85" t="str" cm="1">
        <f t="array" ref="O8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85" t="s">
        <v>60</v>
      </c>
      <c r="Q85" s="5">
        <v>25900</v>
      </c>
      <c r="R85">
        <v>36</v>
      </c>
      <c r="S85">
        <v>8.4499999999999993</v>
      </c>
      <c r="T85">
        <v>817</v>
      </c>
      <c r="U85">
        <v>40</v>
      </c>
      <c r="V85" t="str" cm="1">
        <f t="array" ref="V8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85" t="s">
        <v>41</v>
      </c>
      <c r="X85">
        <v>0</v>
      </c>
      <c r="Y85">
        <v>0</v>
      </c>
      <c r="Z85" s="5">
        <f>IF(Merge1[[#This Row],[loan_applications.defaulted]]=0,Merge1[[#This Row],[loan_applications.loan_amount]]*(Merge1[[#This Row],[loan_applications.interest_rate]]/100)*(Merge1[[#This Row],[loan_applications.term_months]]/12),0)</f>
        <v>6565.65</v>
      </c>
      <c r="AA85" s="5">
        <f>IF(Merge1[[#This Row],[loan_applications.defaulted]]=1,Merge1[[#This Row],[loan_applications.loan_amount]],0)</f>
        <v>0</v>
      </c>
    </row>
    <row r="86" spans="1:27" x14ac:dyDescent="0.35">
      <c r="A86" t="s">
        <v>219</v>
      </c>
      <c r="B86" t="s">
        <v>220</v>
      </c>
      <c r="C86" s="1">
        <v>45453</v>
      </c>
      <c r="D86">
        <v>51</v>
      </c>
      <c r="E86" t="s">
        <v>105</v>
      </c>
      <c r="F86" t="s">
        <v>32</v>
      </c>
      <c r="G86" t="s">
        <v>16</v>
      </c>
      <c r="H86">
        <v>20</v>
      </c>
      <c r="I86" s="5">
        <v>62062</v>
      </c>
      <c r="J86" t="str" cm="1">
        <f t="array" ref="J8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6">
        <v>788</v>
      </c>
      <c r="L86" t="s">
        <v>27</v>
      </c>
      <c r="M86">
        <v>1</v>
      </c>
      <c r="N86">
        <v>926</v>
      </c>
      <c r="O86" t="str" cm="1">
        <f t="array" ref="O8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86" t="s">
        <v>30</v>
      </c>
      <c r="Q86" s="5">
        <v>19800</v>
      </c>
      <c r="R86">
        <v>12</v>
      </c>
      <c r="S86">
        <v>8.23</v>
      </c>
      <c r="T86">
        <v>1724.48</v>
      </c>
      <c r="U86">
        <v>51.2</v>
      </c>
      <c r="V86" t="str" cm="1">
        <f t="array" ref="V8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86" t="s">
        <v>91</v>
      </c>
      <c r="X86">
        <v>0</v>
      </c>
      <c r="Y86">
        <v>0</v>
      </c>
      <c r="Z86" s="5">
        <f>IF(Merge1[[#This Row],[loan_applications.defaulted]]=0,Merge1[[#This Row],[loan_applications.loan_amount]]*(Merge1[[#This Row],[loan_applications.interest_rate]]/100)*(Merge1[[#This Row],[loan_applications.term_months]]/12),0)</f>
        <v>1629.54</v>
      </c>
      <c r="AA86" s="5">
        <f>IF(Merge1[[#This Row],[loan_applications.defaulted]]=1,Merge1[[#This Row],[loan_applications.loan_amount]],0)</f>
        <v>0</v>
      </c>
    </row>
    <row r="87" spans="1:27" x14ac:dyDescent="0.35">
      <c r="A87" t="s">
        <v>221</v>
      </c>
      <c r="B87" t="s">
        <v>222</v>
      </c>
      <c r="C87" s="1">
        <v>45582</v>
      </c>
      <c r="D87">
        <v>39</v>
      </c>
      <c r="E87" t="s">
        <v>42</v>
      </c>
      <c r="F87" t="s">
        <v>62</v>
      </c>
      <c r="G87" t="s">
        <v>16</v>
      </c>
      <c r="H87">
        <v>16</v>
      </c>
      <c r="I87" s="5">
        <v>78303</v>
      </c>
      <c r="J87" t="str" cm="1">
        <f t="array" ref="J8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7">
        <v>540</v>
      </c>
      <c r="L87" t="s">
        <v>17</v>
      </c>
      <c r="M87">
        <v>0</v>
      </c>
      <c r="N87">
        <v>1652</v>
      </c>
      <c r="O87" t="str" cm="1">
        <f t="array" ref="O8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87" t="s">
        <v>56</v>
      </c>
      <c r="Q87" s="5">
        <v>28400</v>
      </c>
      <c r="R87">
        <v>36</v>
      </c>
      <c r="S87">
        <v>11.71</v>
      </c>
      <c r="T87">
        <v>939.36</v>
      </c>
      <c r="U87">
        <v>39.700000000000003</v>
      </c>
      <c r="V87" t="str" cm="1">
        <f t="array" ref="V8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87" t="s">
        <v>41</v>
      </c>
      <c r="X87">
        <v>0</v>
      </c>
      <c r="Y87">
        <v>0</v>
      </c>
      <c r="Z87" s="5">
        <f>IF(Merge1[[#This Row],[loan_applications.defaulted]]=0,Merge1[[#This Row],[loan_applications.loan_amount]]*(Merge1[[#This Row],[loan_applications.interest_rate]]/100)*(Merge1[[#This Row],[loan_applications.term_months]]/12),0)</f>
        <v>9976.9200000000019</v>
      </c>
      <c r="AA87" s="5">
        <f>IF(Merge1[[#This Row],[loan_applications.defaulted]]=1,Merge1[[#This Row],[loan_applications.loan_amount]],0)</f>
        <v>0</v>
      </c>
    </row>
    <row r="88" spans="1:27" x14ac:dyDescent="0.35">
      <c r="A88" t="s">
        <v>223</v>
      </c>
      <c r="B88" t="s">
        <v>224</v>
      </c>
      <c r="C88" s="1">
        <v>45343</v>
      </c>
      <c r="D88">
        <v>57</v>
      </c>
      <c r="E88" t="s">
        <v>42</v>
      </c>
      <c r="F88" t="s">
        <v>62</v>
      </c>
      <c r="G88" t="s">
        <v>16</v>
      </c>
      <c r="H88">
        <v>28</v>
      </c>
      <c r="I88" s="5">
        <v>110018</v>
      </c>
      <c r="J88" t="str" cm="1">
        <f t="array" ref="J8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8">
        <v>796</v>
      </c>
      <c r="L88" t="s">
        <v>17</v>
      </c>
      <c r="M88">
        <v>0</v>
      </c>
      <c r="N88">
        <v>2312</v>
      </c>
      <c r="O88" t="str" cm="1">
        <f t="array" ref="O8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88" t="s">
        <v>30</v>
      </c>
      <c r="Q88" s="5">
        <v>8200</v>
      </c>
      <c r="R88">
        <v>48</v>
      </c>
      <c r="S88">
        <v>11.25</v>
      </c>
      <c r="T88">
        <v>212.93</v>
      </c>
      <c r="U88">
        <v>27.5</v>
      </c>
      <c r="V88" t="str" cm="1">
        <f t="array" ref="V8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88" t="s">
        <v>41</v>
      </c>
      <c r="X88">
        <v>0</v>
      </c>
      <c r="Y88">
        <v>0</v>
      </c>
      <c r="Z88" s="5">
        <f>IF(Merge1[[#This Row],[loan_applications.defaulted]]=0,Merge1[[#This Row],[loan_applications.loan_amount]]*(Merge1[[#This Row],[loan_applications.interest_rate]]/100)*(Merge1[[#This Row],[loan_applications.term_months]]/12),0)</f>
        <v>3690</v>
      </c>
      <c r="AA88" s="5">
        <f>IF(Merge1[[#This Row],[loan_applications.defaulted]]=1,Merge1[[#This Row],[loan_applications.loan_amount]],0)</f>
        <v>0</v>
      </c>
    </row>
    <row r="89" spans="1:27" x14ac:dyDescent="0.35">
      <c r="A89" t="s">
        <v>225</v>
      </c>
      <c r="B89" t="s">
        <v>224</v>
      </c>
      <c r="C89" s="1">
        <v>45611</v>
      </c>
      <c r="D89">
        <v>57</v>
      </c>
      <c r="E89" t="s">
        <v>42</v>
      </c>
      <c r="F89" t="s">
        <v>62</v>
      </c>
      <c r="G89" t="s">
        <v>16</v>
      </c>
      <c r="H89">
        <v>28</v>
      </c>
      <c r="I89" s="5">
        <v>110018</v>
      </c>
      <c r="J89" t="str" cm="1">
        <f t="array" ref="J8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89">
        <v>796</v>
      </c>
      <c r="L89" t="s">
        <v>17</v>
      </c>
      <c r="M89">
        <v>0</v>
      </c>
      <c r="N89">
        <v>2312</v>
      </c>
      <c r="O89" t="str" cm="1">
        <f t="array" ref="O8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89" t="s">
        <v>50</v>
      </c>
      <c r="Q89" s="5">
        <v>44800</v>
      </c>
      <c r="R89">
        <v>48</v>
      </c>
      <c r="S89">
        <v>9.81</v>
      </c>
      <c r="T89">
        <v>1132.1600000000001</v>
      </c>
      <c r="U89">
        <v>37.6</v>
      </c>
      <c r="V89" t="str" cm="1">
        <f t="array" ref="V8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89" t="s">
        <v>21</v>
      </c>
      <c r="X89">
        <v>0</v>
      </c>
      <c r="Y89">
        <v>0</v>
      </c>
      <c r="Z89" s="5">
        <f>IF(Merge1[[#This Row],[loan_applications.defaulted]]=0,Merge1[[#This Row],[loan_applications.loan_amount]]*(Merge1[[#This Row],[loan_applications.interest_rate]]/100)*(Merge1[[#This Row],[loan_applications.term_months]]/12),0)</f>
        <v>17579.52</v>
      </c>
      <c r="AA89" s="5">
        <f>IF(Merge1[[#This Row],[loan_applications.defaulted]]=1,Merge1[[#This Row],[loan_applications.loan_amount]],0)</f>
        <v>0</v>
      </c>
    </row>
    <row r="90" spans="1:27" x14ac:dyDescent="0.35">
      <c r="A90" t="s">
        <v>226</v>
      </c>
      <c r="B90" t="s">
        <v>227</v>
      </c>
      <c r="C90" s="1">
        <v>45387</v>
      </c>
      <c r="D90">
        <v>37</v>
      </c>
      <c r="E90" t="s">
        <v>79</v>
      </c>
      <c r="F90" t="s">
        <v>68</v>
      </c>
      <c r="G90" t="s">
        <v>63</v>
      </c>
      <c r="H90">
        <v>11</v>
      </c>
      <c r="I90" s="5">
        <v>28195</v>
      </c>
      <c r="J90" t="str" cm="1">
        <f t="array" ref="J9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90">
        <v>796</v>
      </c>
      <c r="L90" t="s">
        <v>34</v>
      </c>
      <c r="M90">
        <v>2</v>
      </c>
      <c r="N90">
        <v>530</v>
      </c>
      <c r="O90" t="str" cm="1">
        <f t="array" ref="O9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0" t="s">
        <v>54</v>
      </c>
      <c r="Q90" s="5">
        <v>31800</v>
      </c>
      <c r="R90">
        <v>48</v>
      </c>
      <c r="S90">
        <v>9.57</v>
      </c>
      <c r="T90">
        <v>799.98</v>
      </c>
      <c r="U90">
        <v>56.6</v>
      </c>
      <c r="V90" t="str" cm="1">
        <f t="array" ref="V9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90" t="s">
        <v>91</v>
      </c>
      <c r="X90">
        <v>15</v>
      </c>
      <c r="Y90">
        <v>0</v>
      </c>
      <c r="Z90" s="5">
        <f>IF(Merge1[[#This Row],[loan_applications.defaulted]]=0,Merge1[[#This Row],[loan_applications.loan_amount]]*(Merge1[[#This Row],[loan_applications.interest_rate]]/100)*(Merge1[[#This Row],[loan_applications.term_months]]/12),0)</f>
        <v>12173.04</v>
      </c>
      <c r="AA90" s="5">
        <f>IF(Merge1[[#This Row],[loan_applications.defaulted]]=1,Merge1[[#This Row],[loan_applications.loan_amount]],0)</f>
        <v>0</v>
      </c>
    </row>
    <row r="91" spans="1:27" x14ac:dyDescent="0.35">
      <c r="A91" t="s">
        <v>228</v>
      </c>
      <c r="B91" t="s">
        <v>227</v>
      </c>
      <c r="C91" s="1">
        <v>45521</v>
      </c>
      <c r="D91">
        <v>37</v>
      </c>
      <c r="E91" t="s">
        <v>79</v>
      </c>
      <c r="F91" t="s">
        <v>68</v>
      </c>
      <c r="G91" t="s">
        <v>63</v>
      </c>
      <c r="H91">
        <v>11</v>
      </c>
      <c r="I91" s="5">
        <v>28195</v>
      </c>
      <c r="J91" t="str" cm="1">
        <f t="array" ref="J9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91">
        <v>796</v>
      </c>
      <c r="L91" t="s">
        <v>34</v>
      </c>
      <c r="M91">
        <v>2</v>
      </c>
      <c r="N91">
        <v>530</v>
      </c>
      <c r="O91" t="str" cm="1">
        <f t="array" ref="O9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1" t="s">
        <v>20</v>
      </c>
      <c r="Q91" s="5">
        <v>12900</v>
      </c>
      <c r="R91">
        <v>48</v>
      </c>
      <c r="S91">
        <v>9.09</v>
      </c>
      <c r="T91">
        <v>321.57</v>
      </c>
      <c r="U91">
        <v>36.200000000000003</v>
      </c>
      <c r="V91" t="str" cm="1">
        <f t="array" ref="V9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91" t="s">
        <v>91</v>
      </c>
      <c r="X91">
        <v>15</v>
      </c>
      <c r="Y91">
        <v>0</v>
      </c>
      <c r="Z91" s="5">
        <f>IF(Merge1[[#This Row],[loan_applications.defaulted]]=0,Merge1[[#This Row],[loan_applications.loan_amount]]*(Merge1[[#This Row],[loan_applications.interest_rate]]/100)*(Merge1[[#This Row],[loan_applications.term_months]]/12),0)</f>
        <v>4690.4399999999996</v>
      </c>
      <c r="AA91" s="5">
        <f>IF(Merge1[[#This Row],[loan_applications.defaulted]]=1,Merge1[[#This Row],[loan_applications.loan_amount]],0)</f>
        <v>0</v>
      </c>
    </row>
    <row r="92" spans="1:27" x14ac:dyDescent="0.35">
      <c r="A92" t="s">
        <v>229</v>
      </c>
      <c r="B92" t="s">
        <v>230</v>
      </c>
      <c r="C92" s="1">
        <v>45322</v>
      </c>
      <c r="D92">
        <v>51</v>
      </c>
      <c r="E92" t="s">
        <v>109</v>
      </c>
      <c r="F92" t="s">
        <v>68</v>
      </c>
      <c r="G92" t="s">
        <v>26</v>
      </c>
      <c r="H92">
        <v>20</v>
      </c>
      <c r="I92" s="5">
        <v>34974</v>
      </c>
      <c r="J92" t="str" cm="1">
        <f t="array" ref="J9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92">
        <v>623</v>
      </c>
      <c r="L92" t="s">
        <v>27</v>
      </c>
      <c r="M92">
        <v>4</v>
      </c>
      <c r="N92">
        <v>1151</v>
      </c>
      <c r="O92" t="str" cm="1">
        <f t="array" ref="O9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92" t="s">
        <v>50</v>
      </c>
      <c r="Q92" s="5">
        <v>27200</v>
      </c>
      <c r="R92">
        <v>36</v>
      </c>
      <c r="S92">
        <v>11.88</v>
      </c>
      <c r="T92">
        <v>901.87</v>
      </c>
      <c r="U92">
        <v>70.400000000000006</v>
      </c>
      <c r="V92" t="str" cm="1">
        <f t="array" ref="V9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92" t="s">
        <v>24</v>
      </c>
      <c r="X92">
        <v>58</v>
      </c>
      <c r="Y92">
        <v>1</v>
      </c>
      <c r="Z9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92" s="5">
        <f>IF(Merge1[[#This Row],[loan_applications.defaulted]]=1,Merge1[[#This Row],[loan_applications.loan_amount]],0)</f>
        <v>27200</v>
      </c>
    </row>
    <row r="93" spans="1:27" x14ac:dyDescent="0.35">
      <c r="A93" t="s">
        <v>231</v>
      </c>
      <c r="B93" t="s">
        <v>232</v>
      </c>
      <c r="C93" s="1">
        <v>45422</v>
      </c>
      <c r="D93">
        <v>34</v>
      </c>
      <c r="E93" t="s">
        <v>74</v>
      </c>
      <c r="F93" t="s">
        <v>68</v>
      </c>
      <c r="G93" t="s">
        <v>26</v>
      </c>
      <c r="H93">
        <v>9</v>
      </c>
      <c r="I93" s="5">
        <v>62875</v>
      </c>
      <c r="J93" t="str" cm="1">
        <f t="array" ref="J9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93">
        <v>803</v>
      </c>
      <c r="L93" t="s">
        <v>34</v>
      </c>
      <c r="M93">
        <v>3</v>
      </c>
      <c r="N93">
        <v>1038</v>
      </c>
      <c r="O93" t="str" cm="1">
        <f t="array" ref="O9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3" t="s">
        <v>20</v>
      </c>
      <c r="Q93" s="5">
        <v>15500</v>
      </c>
      <c r="R93">
        <v>36</v>
      </c>
      <c r="S93">
        <v>9.64</v>
      </c>
      <c r="T93">
        <v>497.53</v>
      </c>
      <c r="U93">
        <v>29.3</v>
      </c>
      <c r="V93" t="str" cm="1">
        <f t="array" ref="V9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93" t="s">
        <v>21</v>
      </c>
      <c r="X93">
        <v>0</v>
      </c>
      <c r="Y93">
        <v>0</v>
      </c>
      <c r="Z93" s="5">
        <f>IF(Merge1[[#This Row],[loan_applications.defaulted]]=0,Merge1[[#This Row],[loan_applications.loan_amount]]*(Merge1[[#This Row],[loan_applications.interest_rate]]/100)*(Merge1[[#This Row],[loan_applications.term_months]]/12),0)</f>
        <v>4482.6000000000004</v>
      </c>
      <c r="AA93" s="5">
        <f>IF(Merge1[[#This Row],[loan_applications.defaulted]]=1,Merge1[[#This Row],[loan_applications.loan_amount]],0)</f>
        <v>0</v>
      </c>
    </row>
    <row r="94" spans="1:27" x14ac:dyDescent="0.35">
      <c r="A94" t="s">
        <v>233</v>
      </c>
      <c r="B94" t="s">
        <v>234</v>
      </c>
      <c r="C94" s="1">
        <v>45715</v>
      </c>
      <c r="D94">
        <v>45</v>
      </c>
      <c r="E94" t="s">
        <v>109</v>
      </c>
      <c r="F94" t="s">
        <v>15</v>
      </c>
      <c r="G94" t="s">
        <v>26</v>
      </c>
      <c r="H94">
        <v>1</v>
      </c>
      <c r="I94" s="5">
        <v>41201</v>
      </c>
      <c r="J94" t="str" cm="1">
        <f t="array" ref="J94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94">
        <v>670</v>
      </c>
      <c r="L94" t="s">
        <v>17</v>
      </c>
      <c r="M94">
        <v>0</v>
      </c>
      <c r="N94">
        <v>1792</v>
      </c>
      <c r="O94" t="str" cm="1">
        <f t="array" ref="O9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94" t="s">
        <v>30</v>
      </c>
      <c r="Q94" s="5">
        <v>35700</v>
      </c>
      <c r="R94">
        <v>60</v>
      </c>
      <c r="S94">
        <v>11.14</v>
      </c>
      <c r="T94">
        <v>778.7</v>
      </c>
      <c r="U94">
        <v>74.900000000000006</v>
      </c>
      <c r="V94" t="str" cm="1">
        <f t="array" ref="V9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94" t="s">
        <v>24</v>
      </c>
      <c r="X94">
        <v>92</v>
      </c>
      <c r="Y94">
        <v>1</v>
      </c>
      <c r="Z9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94" s="5">
        <f>IF(Merge1[[#This Row],[loan_applications.defaulted]]=1,Merge1[[#This Row],[loan_applications.loan_amount]],0)</f>
        <v>35700</v>
      </c>
    </row>
    <row r="95" spans="1:27" x14ac:dyDescent="0.35">
      <c r="A95" t="s">
        <v>235</v>
      </c>
      <c r="B95" t="s">
        <v>236</v>
      </c>
      <c r="C95" s="1">
        <v>45737</v>
      </c>
      <c r="D95">
        <v>62</v>
      </c>
      <c r="E95" t="s">
        <v>95</v>
      </c>
      <c r="F95" t="s">
        <v>62</v>
      </c>
      <c r="G95" t="s">
        <v>26</v>
      </c>
      <c r="H95">
        <v>18</v>
      </c>
      <c r="I95" s="5">
        <v>129479</v>
      </c>
      <c r="J95" t="str" cm="1">
        <f t="array" ref="J9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95">
        <v>843</v>
      </c>
      <c r="L95" t="s">
        <v>34</v>
      </c>
      <c r="M95">
        <v>1</v>
      </c>
      <c r="N95">
        <v>5748</v>
      </c>
      <c r="O95" t="str" cm="1">
        <f t="array" ref="O9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5" t="s">
        <v>20</v>
      </c>
      <c r="Q95" s="5">
        <v>18400</v>
      </c>
      <c r="R95">
        <v>60</v>
      </c>
      <c r="S95">
        <v>8.11</v>
      </c>
      <c r="T95">
        <v>374.06</v>
      </c>
      <c r="U95">
        <v>56.7</v>
      </c>
      <c r="V95" t="str" cm="1">
        <f t="array" ref="V9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95" t="s">
        <v>91</v>
      </c>
      <c r="X95">
        <v>0</v>
      </c>
      <c r="Y95">
        <v>0</v>
      </c>
      <c r="Z95" s="5">
        <f>IF(Merge1[[#This Row],[loan_applications.defaulted]]=0,Merge1[[#This Row],[loan_applications.loan_amount]]*(Merge1[[#This Row],[loan_applications.interest_rate]]/100)*(Merge1[[#This Row],[loan_applications.term_months]]/12),0)</f>
        <v>7461.1999999999989</v>
      </c>
      <c r="AA95" s="5">
        <f>IF(Merge1[[#This Row],[loan_applications.defaulted]]=1,Merge1[[#This Row],[loan_applications.loan_amount]],0)</f>
        <v>0</v>
      </c>
    </row>
    <row r="96" spans="1:27" x14ac:dyDescent="0.35">
      <c r="A96" t="s">
        <v>237</v>
      </c>
      <c r="B96" t="s">
        <v>238</v>
      </c>
      <c r="C96" s="1">
        <v>45766</v>
      </c>
      <c r="D96">
        <v>38</v>
      </c>
      <c r="E96" t="s">
        <v>25</v>
      </c>
      <c r="F96" t="s">
        <v>62</v>
      </c>
      <c r="G96" t="s">
        <v>26</v>
      </c>
      <c r="H96">
        <v>15</v>
      </c>
      <c r="I96" s="5">
        <v>125137</v>
      </c>
      <c r="J96" t="str" cm="1">
        <f t="array" ref="J9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96">
        <v>755</v>
      </c>
      <c r="L96" t="s">
        <v>27</v>
      </c>
      <c r="M96">
        <v>2</v>
      </c>
      <c r="N96">
        <v>1312</v>
      </c>
      <c r="O96" t="str" cm="1">
        <f t="array" ref="O9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6" t="s">
        <v>54</v>
      </c>
      <c r="Q96" s="5">
        <v>36200</v>
      </c>
      <c r="R96">
        <v>48</v>
      </c>
      <c r="S96">
        <v>7.99</v>
      </c>
      <c r="T96">
        <v>883.58</v>
      </c>
      <c r="U96">
        <v>21.1</v>
      </c>
      <c r="V96" t="str" cm="1">
        <f t="array" ref="V9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96" t="s">
        <v>41</v>
      </c>
      <c r="X96">
        <v>0</v>
      </c>
      <c r="Y96">
        <v>0</v>
      </c>
      <c r="Z96" s="5">
        <f>IF(Merge1[[#This Row],[loan_applications.defaulted]]=0,Merge1[[#This Row],[loan_applications.loan_amount]]*(Merge1[[#This Row],[loan_applications.interest_rate]]/100)*(Merge1[[#This Row],[loan_applications.term_months]]/12),0)</f>
        <v>11569.52</v>
      </c>
      <c r="AA96" s="5">
        <f>IF(Merge1[[#This Row],[loan_applications.defaulted]]=1,Merge1[[#This Row],[loan_applications.loan_amount]],0)</f>
        <v>0</v>
      </c>
    </row>
    <row r="97" spans="1:27" x14ac:dyDescent="0.35">
      <c r="A97" t="s">
        <v>239</v>
      </c>
      <c r="B97" t="s">
        <v>240</v>
      </c>
      <c r="C97" s="1">
        <v>45680</v>
      </c>
      <c r="D97">
        <v>58</v>
      </c>
      <c r="E97" t="s">
        <v>57</v>
      </c>
      <c r="F97" t="s">
        <v>62</v>
      </c>
      <c r="G97" t="s">
        <v>26</v>
      </c>
      <c r="H97">
        <v>26</v>
      </c>
      <c r="I97" s="5">
        <v>75894</v>
      </c>
      <c r="J97" t="str" cm="1">
        <f t="array" ref="J9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97">
        <v>820</v>
      </c>
      <c r="L97" t="s">
        <v>34</v>
      </c>
      <c r="M97">
        <v>2</v>
      </c>
      <c r="N97">
        <v>2769</v>
      </c>
      <c r="O97" t="str" cm="1">
        <f t="array" ref="O9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7" t="s">
        <v>23</v>
      </c>
      <c r="Q97" s="5">
        <v>4900</v>
      </c>
      <c r="R97">
        <v>60</v>
      </c>
      <c r="S97">
        <v>10.19</v>
      </c>
      <c r="T97">
        <v>104.57</v>
      </c>
      <c r="U97">
        <v>45.4</v>
      </c>
      <c r="V97" t="str" cm="1">
        <f t="array" ref="V9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97" t="s">
        <v>41</v>
      </c>
      <c r="X97">
        <v>0</v>
      </c>
      <c r="Y97">
        <v>0</v>
      </c>
      <c r="Z97" s="5">
        <f>IF(Merge1[[#This Row],[loan_applications.defaulted]]=0,Merge1[[#This Row],[loan_applications.loan_amount]]*(Merge1[[#This Row],[loan_applications.interest_rate]]/100)*(Merge1[[#This Row],[loan_applications.term_months]]/12),0)</f>
        <v>2496.5499999999997</v>
      </c>
      <c r="AA97" s="5">
        <f>IF(Merge1[[#This Row],[loan_applications.defaulted]]=1,Merge1[[#This Row],[loan_applications.loan_amount]],0)</f>
        <v>0</v>
      </c>
    </row>
    <row r="98" spans="1:27" x14ac:dyDescent="0.35">
      <c r="A98" t="s">
        <v>241</v>
      </c>
      <c r="B98" t="s">
        <v>242</v>
      </c>
      <c r="C98" s="1">
        <v>45444</v>
      </c>
      <c r="D98">
        <v>46</v>
      </c>
      <c r="E98" t="s">
        <v>38</v>
      </c>
      <c r="F98" t="s">
        <v>32</v>
      </c>
      <c r="G98" t="s">
        <v>26</v>
      </c>
      <c r="H98">
        <v>9</v>
      </c>
      <c r="I98" s="5">
        <v>95478</v>
      </c>
      <c r="J98" t="str" cm="1">
        <f t="array" ref="J9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98">
        <v>759</v>
      </c>
      <c r="L98" t="s">
        <v>34</v>
      </c>
      <c r="M98">
        <v>2</v>
      </c>
      <c r="N98">
        <v>3342</v>
      </c>
      <c r="O98" t="str" cm="1">
        <f t="array" ref="O9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98" t="s">
        <v>50</v>
      </c>
      <c r="Q98" s="5">
        <v>45400</v>
      </c>
      <c r="R98">
        <v>12</v>
      </c>
      <c r="S98">
        <v>11.14</v>
      </c>
      <c r="T98">
        <v>4015.49</v>
      </c>
      <c r="U98">
        <v>92.5</v>
      </c>
      <c r="V98" t="str" cm="1">
        <f t="array" ref="V9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98" t="s">
        <v>91</v>
      </c>
      <c r="X98">
        <v>0</v>
      </c>
      <c r="Y98">
        <v>0</v>
      </c>
      <c r="Z98" s="5">
        <f>IF(Merge1[[#This Row],[loan_applications.defaulted]]=0,Merge1[[#This Row],[loan_applications.loan_amount]]*(Merge1[[#This Row],[loan_applications.interest_rate]]/100)*(Merge1[[#This Row],[loan_applications.term_months]]/12),0)</f>
        <v>5057.5600000000004</v>
      </c>
      <c r="AA98" s="5">
        <f>IF(Merge1[[#This Row],[loan_applications.defaulted]]=1,Merge1[[#This Row],[loan_applications.loan_amount]],0)</f>
        <v>0</v>
      </c>
    </row>
    <row r="99" spans="1:27" x14ac:dyDescent="0.35">
      <c r="A99" t="s">
        <v>243</v>
      </c>
      <c r="B99" t="s">
        <v>244</v>
      </c>
      <c r="C99" s="1">
        <v>45603</v>
      </c>
      <c r="D99">
        <v>35</v>
      </c>
      <c r="E99" t="s">
        <v>203</v>
      </c>
      <c r="F99" t="s">
        <v>32</v>
      </c>
      <c r="G99" t="s">
        <v>26</v>
      </c>
      <c r="H99">
        <v>5</v>
      </c>
      <c r="I99" s="5">
        <v>45779</v>
      </c>
      <c r="J99" t="str" cm="1">
        <f t="array" ref="J9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99">
        <v>652</v>
      </c>
      <c r="L99" t="s">
        <v>34</v>
      </c>
      <c r="M99">
        <v>0</v>
      </c>
      <c r="N99">
        <v>1050</v>
      </c>
      <c r="O99" t="str" cm="1">
        <f t="array" ref="O9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99" t="s">
        <v>56</v>
      </c>
      <c r="Q99" s="5">
        <v>17200</v>
      </c>
      <c r="R99">
        <v>60</v>
      </c>
      <c r="S99">
        <v>13.11</v>
      </c>
      <c r="T99">
        <v>392.32</v>
      </c>
      <c r="U99">
        <v>37.799999999999997</v>
      </c>
      <c r="V99" t="str" cm="1">
        <f t="array" ref="V9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99" t="s">
        <v>91</v>
      </c>
      <c r="X99">
        <v>15</v>
      </c>
      <c r="Y99">
        <v>0</v>
      </c>
      <c r="Z99" s="5">
        <f>IF(Merge1[[#This Row],[loan_applications.defaulted]]=0,Merge1[[#This Row],[loan_applications.loan_amount]]*(Merge1[[#This Row],[loan_applications.interest_rate]]/100)*(Merge1[[#This Row],[loan_applications.term_months]]/12),0)</f>
        <v>11274.6</v>
      </c>
      <c r="AA99" s="5">
        <f>IF(Merge1[[#This Row],[loan_applications.defaulted]]=1,Merge1[[#This Row],[loan_applications.loan_amount]],0)</f>
        <v>0</v>
      </c>
    </row>
    <row r="100" spans="1:27" x14ac:dyDescent="0.35">
      <c r="A100" t="s">
        <v>245</v>
      </c>
      <c r="B100" t="s">
        <v>246</v>
      </c>
      <c r="C100" s="1">
        <v>45422</v>
      </c>
      <c r="D100">
        <v>60</v>
      </c>
      <c r="E100" t="s">
        <v>51</v>
      </c>
      <c r="F100" t="s">
        <v>32</v>
      </c>
      <c r="G100" t="s">
        <v>26</v>
      </c>
      <c r="H100">
        <v>29</v>
      </c>
      <c r="I100" s="5">
        <v>58981</v>
      </c>
      <c r="J100" t="str" cm="1">
        <f t="array" ref="J10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00">
        <v>674</v>
      </c>
      <c r="L100" t="s">
        <v>27</v>
      </c>
      <c r="M100">
        <v>3</v>
      </c>
      <c r="N100">
        <v>2181</v>
      </c>
      <c r="O100" t="str" cm="1">
        <f t="array" ref="O10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00" t="s">
        <v>54</v>
      </c>
      <c r="Q100" s="5">
        <v>31400</v>
      </c>
      <c r="R100">
        <v>60</v>
      </c>
      <c r="S100">
        <v>10.79</v>
      </c>
      <c r="T100">
        <v>679.43</v>
      </c>
      <c r="U100">
        <v>58.2</v>
      </c>
      <c r="V100" t="str" cm="1">
        <f t="array" ref="V10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00" t="s">
        <v>21</v>
      </c>
      <c r="X100">
        <v>0</v>
      </c>
      <c r="Y100">
        <v>0</v>
      </c>
      <c r="Z100" s="5">
        <f>IF(Merge1[[#This Row],[loan_applications.defaulted]]=0,Merge1[[#This Row],[loan_applications.loan_amount]]*(Merge1[[#This Row],[loan_applications.interest_rate]]/100)*(Merge1[[#This Row],[loan_applications.term_months]]/12),0)</f>
        <v>16940.3</v>
      </c>
      <c r="AA100" s="5">
        <f>IF(Merge1[[#This Row],[loan_applications.defaulted]]=1,Merge1[[#This Row],[loan_applications.loan_amount]],0)</f>
        <v>0</v>
      </c>
    </row>
    <row r="101" spans="1:27" x14ac:dyDescent="0.35">
      <c r="A101" t="s">
        <v>247</v>
      </c>
      <c r="B101" t="s">
        <v>246</v>
      </c>
      <c r="C101" s="1">
        <v>45580</v>
      </c>
      <c r="D101">
        <v>60</v>
      </c>
      <c r="E101" t="s">
        <v>51</v>
      </c>
      <c r="F101" t="s">
        <v>32</v>
      </c>
      <c r="G101" t="s">
        <v>26</v>
      </c>
      <c r="H101">
        <v>29</v>
      </c>
      <c r="I101" s="5">
        <v>58981</v>
      </c>
      <c r="J101" t="str" cm="1">
        <f t="array" ref="J10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01">
        <v>674</v>
      </c>
      <c r="L101" t="s">
        <v>27</v>
      </c>
      <c r="M101">
        <v>3</v>
      </c>
      <c r="N101">
        <v>2181</v>
      </c>
      <c r="O101" t="str" cm="1">
        <f t="array" ref="O10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01" t="s">
        <v>60</v>
      </c>
      <c r="Q101" s="5">
        <v>10800</v>
      </c>
      <c r="R101">
        <v>36</v>
      </c>
      <c r="S101">
        <v>9.32</v>
      </c>
      <c r="T101">
        <v>345.05</v>
      </c>
      <c r="U101">
        <v>51.4</v>
      </c>
      <c r="V101" t="str" cm="1">
        <f t="array" ref="V10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01" t="s">
        <v>21</v>
      </c>
      <c r="X101">
        <v>0</v>
      </c>
      <c r="Y101">
        <v>0</v>
      </c>
      <c r="Z101" s="5">
        <f>IF(Merge1[[#This Row],[loan_applications.defaulted]]=0,Merge1[[#This Row],[loan_applications.loan_amount]]*(Merge1[[#This Row],[loan_applications.interest_rate]]/100)*(Merge1[[#This Row],[loan_applications.term_months]]/12),0)</f>
        <v>3019.6800000000003</v>
      </c>
      <c r="AA101" s="5">
        <f>IF(Merge1[[#This Row],[loan_applications.defaulted]]=1,Merge1[[#This Row],[loan_applications.loan_amount]],0)</f>
        <v>0</v>
      </c>
    </row>
    <row r="102" spans="1:27" x14ac:dyDescent="0.35">
      <c r="A102" t="s">
        <v>248</v>
      </c>
      <c r="B102" t="s">
        <v>249</v>
      </c>
      <c r="C102" s="1">
        <v>45469</v>
      </c>
      <c r="D102">
        <v>62</v>
      </c>
      <c r="E102" t="s">
        <v>193</v>
      </c>
      <c r="F102" t="s">
        <v>32</v>
      </c>
      <c r="G102" t="s">
        <v>33</v>
      </c>
      <c r="H102">
        <v>34</v>
      </c>
      <c r="I102" s="5">
        <v>53220</v>
      </c>
      <c r="J102" t="str" cm="1">
        <f t="array" ref="J10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02">
        <v>588</v>
      </c>
      <c r="L102" t="s">
        <v>27</v>
      </c>
      <c r="M102">
        <v>3</v>
      </c>
      <c r="N102">
        <v>2054</v>
      </c>
      <c r="O102" t="str" cm="1">
        <f t="array" ref="O10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02" t="s">
        <v>45</v>
      </c>
      <c r="Q102" s="5">
        <v>21500</v>
      </c>
      <c r="R102">
        <v>48</v>
      </c>
      <c r="S102">
        <v>12.93</v>
      </c>
      <c r="T102">
        <v>576.04</v>
      </c>
      <c r="U102">
        <v>59.3</v>
      </c>
      <c r="V102" t="str" cm="1">
        <f t="array" ref="V10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02" t="s">
        <v>24</v>
      </c>
      <c r="X102">
        <v>78</v>
      </c>
      <c r="Y102">
        <v>1</v>
      </c>
      <c r="Z10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02" s="5">
        <f>IF(Merge1[[#This Row],[loan_applications.defaulted]]=1,Merge1[[#This Row],[loan_applications.loan_amount]],0)</f>
        <v>21500</v>
      </c>
    </row>
    <row r="103" spans="1:27" x14ac:dyDescent="0.35">
      <c r="A103" t="s">
        <v>250</v>
      </c>
      <c r="B103" t="s">
        <v>251</v>
      </c>
      <c r="C103" s="1">
        <v>45365</v>
      </c>
      <c r="D103">
        <v>26</v>
      </c>
      <c r="E103" t="s">
        <v>95</v>
      </c>
      <c r="F103" t="s">
        <v>15</v>
      </c>
      <c r="G103" t="s">
        <v>16</v>
      </c>
      <c r="H103">
        <v>2</v>
      </c>
      <c r="I103" s="5">
        <v>43345</v>
      </c>
      <c r="J103" t="str" cm="1">
        <f t="array" ref="J10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03">
        <v>821</v>
      </c>
      <c r="L103" t="s">
        <v>34</v>
      </c>
      <c r="M103">
        <v>2</v>
      </c>
      <c r="N103">
        <v>1444</v>
      </c>
      <c r="O103" t="str" cm="1">
        <f t="array" ref="O10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03" t="s">
        <v>45</v>
      </c>
      <c r="Q103" s="5">
        <v>9400</v>
      </c>
      <c r="R103">
        <v>24</v>
      </c>
      <c r="S103">
        <v>6.99</v>
      </c>
      <c r="T103">
        <v>420.82</v>
      </c>
      <c r="U103">
        <v>51.6</v>
      </c>
      <c r="V103" t="str" cm="1">
        <f t="array" ref="V10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03" t="s">
        <v>21</v>
      </c>
      <c r="X103">
        <v>0</v>
      </c>
      <c r="Y103">
        <v>0</v>
      </c>
      <c r="Z103" s="5">
        <f>IF(Merge1[[#This Row],[loan_applications.defaulted]]=0,Merge1[[#This Row],[loan_applications.loan_amount]]*(Merge1[[#This Row],[loan_applications.interest_rate]]/100)*(Merge1[[#This Row],[loan_applications.term_months]]/12),0)</f>
        <v>1314.1200000000001</v>
      </c>
      <c r="AA103" s="5">
        <f>IF(Merge1[[#This Row],[loan_applications.defaulted]]=1,Merge1[[#This Row],[loan_applications.loan_amount]],0)</f>
        <v>0</v>
      </c>
    </row>
    <row r="104" spans="1:27" x14ac:dyDescent="0.35">
      <c r="A104" t="s">
        <v>253</v>
      </c>
      <c r="B104" t="s">
        <v>254</v>
      </c>
      <c r="C104" s="1">
        <v>45727</v>
      </c>
      <c r="D104">
        <v>39</v>
      </c>
      <c r="E104" t="s">
        <v>252</v>
      </c>
      <c r="F104" t="s">
        <v>32</v>
      </c>
      <c r="G104" t="s">
        <v>26</v>
      </c>
      <c r="H104">
        <v>13</v>
      </c>
      <c r="I104" s="5">
        <v>45732</v>
      </c>
      <c r="J104" t="str" cm="1">
        <f t="array" ref="J10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04">
        <v>550</v>
      </c>
      <c r="L104" t="s">
        <v>17</v>
      </c>
      <c r="M104">
        <v>0</v>
      </c>
      <c r="N104">
        <v>364</v>
      </c>
      <c r="O104" t="str" cm="1">
        <f t="array" ref="O10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04" t="s">
        <v>50</v>
      </c>
      <c r="Q104" s="5">
        <v>12500</v>
      </c>
      <c r="R104">
        <v>48</v>
      </c>
      <c r="S104">
        <v>15.13</v>
      </c>
      <c r="T104">
        <v>348.71</v>
      </c>
      <c r="U104">
        <v>18.7</v>
      </c>
      <c r="V104" t="str" cm="1">
        <f t="array" ref="V10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04" t="s">
        <v>41</v>
      </c>
      <c r="X104">
        <v>0</v>
      </c>
      <c r="Y104">
        <v>0</v>
      </c>
      <c r="Z104" s="5">
        <f>IF(Merge1[[#This Row],[loan_applications.defaulted]]=0,Merge1[[#This Row],[loan_applications.loan_amount]]*(Merge1[[#This Row],[loan_applications.interest_rate]]/100)*(Merge1[[#This Row],[loan_applications.term_months]]/12),0)</f>
        <v>7565.0000000000009</v>
      </c>
      <c r="AA104" s="5">
        <f>IF(Merge1[[#This Row],[loan_applications.defaulted]]=1,Merge1[[#This Row],[loan_applications.loan_amount]],0)</f>
        <v>0</v>
      </c>
    </row>
    <row r="105" spans="1:27" x14ac:dyDescent="0.35">
      <c r="A105" t="s">
        <v>255</v>
      </c>
      <c r="B105" t="s">
        <v>256</v>
      </c>
      <c r="C105" s="1">
        <v>45802</v>
      </c>
      <c r="D105">
        <v>65</v>
      </c>
      <c r="E105" t="s">
        <v>203</v>
      </c>
      <c r="F105" t="s">
        <v>62</v>
      </c>
      <c r="G105" t="s">
        <v>63</v>
      </c>
      <c r="H105">
        <v>2</v>
      </c>
      <c r="I105" s="5">
        <v>74897</v>
      </c>
      <c r="J105" t="str" cm="1">
        <f t="array" ref="J10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05">
        <v>672</v>
      </c>
      <c r="L105" t="s">
        <v>17</v>
      </c>
      <c r="M105">
        <v>1</v>
      </c>
      <c r="N105">
        <v>2345</v>
      </c>
      <c r="O105" t="str" cm="1">
        <f t="array" ref="O10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05" t="s">
        <v>23</v>
      </c>
      <c r="Q105" s="5">
        <v>10900</v>
      </c>
      <c r="R105">
        <v>60</v>
      </c>
      <c r="S105">
        <v>8.84</v>
      </c>
      <c r="T105">
        <v>225.42</v>
      </c>
      <c r="U105">
        <v>41.2</v>
      </c>
      <c r="V105" t="str" cm="1">
        <f t="array" ref="V10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05" t="s">
        <v>41</v>
      </c>
      <c r="X105">
        <v>0</v>
      </c>
      <c r="Y105">
        <v>0</v>
      </c>
      <c r="Z105" s="5">
        <f>IF(Merge1[[#This Row],[loan_applications.defaulted]]=0,Merge1[[#This Row],[loan_applications.loan_amount]]*(Merge1[[#This Row],[loan_applications.interest_rate]]/100)*(Merge1[[#This Row],[loan_applications.term_months]]/12),0)</f>
        <v>4817.7999999999993</v>
      </c>
      <c r="AA105" s="5">
        <f>IF(Merge1[[#This Row],[loan_applications.defaulted]]=1,Merge1[[#This Row],[loan_applications.loan_amount]],0)</f>
        <v>0</v>
      </c>
    </row>
    <row r="106" spans="1:27" x14ac:dyDescent="0.35">
      <c r="A106" t="s">
        <v>257</v>
      </c>
      <c r="B106" t="s">
        <v>256</v>
      </c>
      <c r="C106" s="1">
        <v>45786</v>
      </c>
      <c r="D106">
        <v>65</v>
      </c>
      <c r="E106" t="s">
        <v>203</v>
      </c>
      <c r="F106" t="s">
        <v>62</v>
      </c>
      <c r="G106" t="s">
        <v>63</v>
      </c>
      <c r="H106">
        <v>2</v>
      </c>
      <c r="I106" s="5">
        <v>74897</v>
      </c>
      <c r="J106" t="str" cm="1">
        <f t="array" ref="J10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06">
        <v>672</v>
      </c>
      <c r="L106" t="s">
        <v>17</v>
      </c>
      <c r="M106">
        <v>1</v>
      </c>
      <c r="N106">
        <v>2345</v>
      </c>
      <c r="O106" t="str" cm="1">
        <f t="array" ref="O10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06" t="s">
        <v>23</v>
      </c>
      <c r="Q106" s="5">
        <v>29700</v>
      </c>
      <c r="R106">
        <v>12</v>
      </c>
      <c r="S106">
        <v>13.69</v>
      </c>
      <c r="T106">
        <v>2662.35</v>
      </c>
      <c r="U106">
        <v>80.2</v>
      </c>
      <c r="V106" t="str" cm="1">
        <f t="array" ref="V10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06" t="s">
        <v>41</v>
      </c>
      <c r="X106">
        <v>0</v>
      </c>
      <c r="Y106">
        <v>0</v>
      </c>
      <c r="Z106" s="5">
        <f>IF(Merge1[[#This Row],[loan_applications.defaulted]]=0,Merge1[[#This Row],[loan_applications.loan_amount]]*(Merge1[[#This Row],[loan_applications.interest_rate]]/100)*(Merge1[[#This Row],[loan_applications.term_months]]/12),0)</f>
        <v>4065.93</v>
      </c>
      <c r="AA106" s="5">
        <f>IF(Merge1[[#This Row],[loan_applications.defaulted]]=1,Merge1[[#This Row],[loan_applications.loan_amount]],0)</f>
        <v>0</v>
      </c>
    </row>
    <row r="107" spans="1:27" x14ac:dyDescent="0.35">
      <c r="A107" t="s">
        <v>258</v>
      </c>
      <c r="B107" t="s">
        <v>259</v>
      </c>
      <c r="C107" s="1">
        <v>45372</v>
      </c>
      <c r="D107">
        <v>39</v>
      </c>
      <c r="E107" t="s">
        <v>92</v>
      </c>
      <c r="F107" t="s">
        <v>15</v>
      </c>
      <c r="G107" t="s">
        <v>63</v>
      </c>
      <c r="H107">
        <v>2</v>
      </c>
      <c r="I107" s="5">
        <v>24609</v>
      </c>
      <c r="J107" t="str" cm="1">
        <f t="array" ref="J10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07">
        <v>776</v>
      </c>
      <c r="L107" t="s">
        <v>34</v>
      </c>
      <c r="M107">
        <v>1</v>
      </c>
      <c r="N107">
        <v>789</v>
      </c>
      <c r="O107" t="str" cm="1">
        <f t="array" ref="O10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07" t="s">
        <v>50</v>
      </c>
      <c r="Q107" s="5">
        <v>16200</v>
      </c>
      <c r="R107">
        <v>36</v>
      </c>
      <c r="S107">
        <v>9.39</v>
      </c>
      <c r="T107">
        <v>518.1</v>
      </c>
      <c r="U107">
        <v>63.7</v>
      </c>
      <c r="V107" t="str" cm="1">
        <f t="array" ref="V10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07" t="s">
        <v>41</v>
      </c>
      <c r="X107">
        <v>0</v>
      </c>
      <c r="Y107">
        <v>0</v>
      </c>
      <c r="Z107" s="5">
        <f>IF(Merge1[[#This Row],[loan_applications.defaulted]]=0,Merge1[[#This Row],[loan_applications.loan_amount]]*(Merge1[[#This Row],[loan_applications.interest_rate]]/100)*(Merge1[[#This Row],[loan_applications.term_months]]/12),0)</f>
        <v>4563.5400000000009</v>
      </c>
      <c r="AA107" s="5">
        <f>IF(Merge1[[#This Row],[loan_applications.defaulted]]=1,Merge1[[#This Row],[loan_applications.loan_amount]],0)</f>
        <v>0</v>
      </c>
    </row>
    <row r="108" spans="1:27" x14ac:dyDescent="0.35">
      <c r="A108" t="s">
        <v>260</v>
      </c>
      <c r="B108" t="s">
        <v>261</v>
      </c>
      <c r="C108" s="1">
        <v>45346</v>
      </c>
      <c r="D108">
        <v>32</v>
      </c>
      <c r="E108" t="s">
        <v>95</v>
      </c>
      <c r="F108" t="s">
        <v>68</v>
      </c>
      <c r="G108" t="s">
        <v>16</v>
      </c>
      <c r="H108">
        <v>12</v>
      </c>
      <c r="I108" s="5">
        <v>42715</v>
      </c>
      <c r="J108" t="str" cm="1">
        <f t="array" ref="J10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08">
        <v>735</v>
      </c>
      <c r="L108" t="s">
        <v>34</v>
      </c>
      <c r="M108">
        <v>0</v>
      </c>
      <c r="N108">
        <v>627</v>
      </c>
      <c r="O108" t="str" cm="1">
        <f t="array" ref="O10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08" t="s">
        <v>54</v>
      </c>
      <c r="Q108" s="5">
        <v>26700</v>
      </c>
      <c r="R108">
        <v>60</v>
      </c>
      <c r="S108">
        <v>9.31</v>
      </c>
      <c r="T108">
        <v>558.27</v>
      </c>
      <c r="U108">
        <v>33.299999999999997</v>
      </c>
      <c r="V108" t="str" cm="1">
        <f t="array" ref="V10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08" t="s">
        <v>41</v>
      </c>
      <c r="X108">
        <v>0</v>
      </c>
      <c r="Y108">
        <v>0</v>
      </c>
      <c r="Z108" s="5">
        <f>IF(Merge1[[#This Row],[loan_applications.defaulted]]=0,Merge1[[#This Row],[loan_applications.loan_amount]]*(Merge1[[#This Row],[loan_applications.interest_rate]]/100)*(Merge1[[#This Row],[loan_applications.term_months]]/12),0)</f>
        <v>12428.85</v>
      </c>
      <c r="AA108" s="5">
        <f>IF(Merge1[[#This Row],[loan_applications.defaulted]]=1,Merge1[[#This Row],[loan_applications.loan_amount]],0)</f>
        <v>0</v>
      </c>
    </row>
    <row r="109" spans="1:27" x14ac:dyDescent="0.35">
      <c r="A109" t="s">
        <v>262</v>
      </c>
      <c r="B109" t="s">
        <v>263</v>
      </c>
      <c r="C109" s="1">
        <v>45593</v>
      </c>
      <c r="D109">
        <v>29</v>
      </c>
      <c r="E109" t="s">
        <v>38</v>
      </c>
      <c r="F109" t="s">
        <v>47</v>
      </c>
      <c r="G109" t="s">
        <v>26</v>
      </c>
      <c r="H109">
        <v>8</v>
      </c>
      <c r="I109" s="5">
        <v>120275</v>
      </c>
      <c r="J109" t="str" cm="1">
        <f t="array" ref="J10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09">
        <v>550</v>
      </c>
      <c r="L109" t="s">
        <v>34</v>
      </c>
      <c r="M109">
        <v>0</v>
      </c>
      <c r="N109">
        <v>2314</v>
      </c>
      <c r="O109" t="str" cm="1">
        <f t="array" ref="O10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09" t="s">
        <v>20</v>
      </c>
      <c r="Q109" s="5">
        <v>17900</v>
      </c>
      <c r="R109">
        <v>36</v>
      </c>
      <c r="S109">
        <v>15.64</v>
      </c>
      <c r="T109">
        <v>626.13</v>
      </c>
      <c r="U109">
        <v>29.3</v>
      </c>
      <c r="V109" t="str" cm="1">
        <f t="array" ref="V10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09" t="s">
        <v>24</v>
      </c>
      <c r="X109">
        <v>39</v>
      </c>
      <c r="Y109">
        <v>1</v>
      </c>
      <c r="Z10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09" s="5">
        <f>IF(Merge1[[#This Row],[loan_applications.defaulted]]=1,Merge1[[#This Row],[loan_applications.loan_amount]],0)</f>
        <v>17900</v>
      </c>
    </row>
    <row r="110" spans="1:27" x14ac:dyDescent="0.35">
      <c r="A110" t="s">
        <v>264</v>
      </c>
      <c r="B110" t="s">
        <v>265</v>
      </c>
      <c r="C110" s="1">
        <v>45776</v>
      </c>
      <c r="D110">
        <v>53</v>
      </c>
      <c r="E110" t="s">
        <v>95</v>
      </c>
      <c r="F110" t="s">
        <v>32</v>
      </c>
      <c r="G110" t="s">
        <v>16</v>
      </c>
      <c r="H110">
        <v>8</v>
      </c>
      <c r="I110" s="5">
        <v>53587</v>
      </c>
      <c r="J110" t="str" cm="1">
        <f t="array" ref="J11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10">
        <v>811</v>
      </c>
      <c r="L110" t="s">
        <v>17</v>
      </c>
      <c r="M110">
        <v>3</v>
      </c>
      <c r="N110">
        <v>1305</v>
      </c>
      <c r="O110" t="str" cm="1">
        <f t="array" ref="O11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10" t="s">
        <v>71</v>
      </c>
      <c r="Q110" s="5">
        <v>36900</v>
      </c>
      <c r="R110">
        <v>60</v>
      </c>
      <c r="S110">
        <v>7.79</v>
      </c>
      <c r="T110">
        <v>744.5</v>
      </c>
      <c r="U110">
        <v>45.9</v>
      </c>
      <c r="V110" t="str" cm="1">
        <f t="array" ref="V11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10" t="s">
        <v>91</v>
      </c>
      <c r="X110">
        <v>0</v>
      </c>
      <c r="Y110">
        <v>0</v>
      </c>
      <c r="Z110" s="5">
        <f>IF(Merge1[[#This Row],[loan_applications.defaulted]]=0,Merge1[[#This Row],[loan_applications.loan_amount]]*(Merge1[[#This Row],[loan_applications.interest_rate]]/100)*(Merge1[[#This Row],[loan_applications.term_months]]/12),0)</f>
        <v>14372.55</v>
      </c>
      <c r="AA110" s="5">
        <f>IF(Merge1[[#This Row],[loan_applications.defaulted]]=1,Merge1[[#This Row],[loan_applications.loan_amount]],0)</f>
        <v>0</v>
      </c>
    </row>
    <row r="111" spans="1:27" x14ac:dyDescent="0.35">
      <c r="A111" t="s">
        <v>266</v>
      </c>
      <c r="B111" t="s">
        <v>267</v>
      </c>
      <c r="C111" s="1">
        <v>45576</v>
      </c>
      <c r="D111">
        <v>23</v>
      </c>
      <c r="E111" t="s">
        <v>109</v>
      </c>
      <c r="F111" t="s">
        <v>47</v>
      </c>
      <c r="G111" t="s">
        <v>63</v>
      </c>
      <c r="H111">
        <v>2</v>
      </c>
      <c r="I111" s="5">
        <v>50328</v>
      </c>
      <c r="J111" t="str" cm="1">
        <f t="array" ref="J11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11">
        <v>611</v>
      </c>
      <c r="L111" t="s">
        <v>34</v>
      </c>
      <c r="M111">
        <v>1</v>
      </c>
      <c r="N111">
        <v>680</v>
      </c>
      <c r="O111" t="str" cm="1">
        <f t="array" ref="O11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11" t="s">
        <v>71</v>
      </c>
      <c r="Q111" s="5">
        <v>9100</v>
      </c>
      <c r="R111">
        <v>24</v>
      </c>
      <c r="S111">
        <v>12.34</v>
      </c>
      <c r="T111">
        <v>429.81</v>
      </c>
      <c r="U111">
        <v>26.5</v>
      </c>
      <c r="V111" t="str" cm="1">
        <f t="array" ref="V11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11" t="s">
        <v>24</v>
      </c>
      <c r="X111">
        <v>101</v>
      </c>
      <c r="Y111">
        <v>1</v>
      </c>
      <c r="Z11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11" s="5">
        <f>IF(Merge1[[#This Row],[loan_applications.defaulted]]=1,Merge1[[#This Row],[loan_applications.loan_amount]],0)</f>
        <v>9100</v>
      </c>
    </row>
    <row r="112" spans="1:27" x14ac:dyDescent="0.35">
      <c r="A112" t="s">
        <v>268</v>
      </c>
      <c r="B112" t="s">
        <v>269</v>
      </c>
      <c r="C112" s="1">
        <v>45446</v>
      </c>
      <c r="D112">
        <v>29</v>
      </c>
      <c r="E112" t="s">
        <v>31</v>
      </c>
      <c r="F112" t="s">
        <v>32</v>
      </c>
      <c r="G112" t="s">
        <v>26</v>
      </c>
      <c r="H112">
        <v>4</v>
      </c>
      <c r="I112" s="5">
        <v>93690</v>
      </c>
      <c r="J112" t="str" cm="1">
        <f t="array" ref="J11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12">
        <v>795</v>
      </c>
      <c r="L112" t="s">
        <v>34</v>
      </c>
      <c r="M112">
        <v>1</v>
      </c>
      <c r="N112">
        <v>2273</v>
      </c>
      <c r="O112" t="str" cm="1">
        <f t="array" ref="O11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12" t="s">
        <v>37</v>
      </c>
      <c r="Q112" s="5">
        <v>5100</v>
      </c>
      <c r="R112">
        <v>24</v>
      </c>
      <c r="S112">
        <v>11.3</v>
      </c>
      <c r="T112">
        <v>238.41</v>
      </c>
      <c r="U112">
        <v>32.200000000000003</v>
      </c>
      <c r="V112" t="str" cm="1">
        <f t="array" ref="V11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12" t="s">
        <v>41</v>
      </c>
      <c r="X112">
        <v>0</v>
      </c>
      <c r="Y112">
        <v>0</v>
      </c>
      <c r="Z112" s="5">
        <f>IF(Merge1[[#This Row],[loan_applications.defaulted]]=0,Merge1[[#This Row],[loan_applications.loan_amount]]*(Merge1[[#This Row],[loan_applications.interest_rate]]/100)*(Merge1[[#This Row],[loan_applications.term_months]]/12),0)</f>
        <v>1152.6000000000001</v>
      </c>
      <c r="AA112" s="5">
        <f>IF(Merge1[[#This Row],[loan_applications.defaulted]]=1,Merge1[[#This Row],[loan_applications.loan_amount]],0)</f>
        <v>0</v>
      </c>
    </row>
    <row r="113" spans="1:27" x14ac:dyDescent="0.35">
      <c r="A113" t="s">
        <v>270</v>
      </c>
      <c r="B113" t="s">
        <v>271</v>
      </c>
      <c r="C113" s="1">
        <v>45378</v>
      </c>
      <c r="D113">
        <v>52</v>
      </c>
      <c r="E113" t="s">
        <v>193</v>
      </c>
      <c r="F113" t="s">
        <v>68</v>
      </c>
      <c r="G113" t="s">
        <v>63</v>
      </c>
      <c r="H113">
        <v>32</v>
      </c>
      <c r="I113" s="5">
        <v>25916</v>
      </c>
      <c r="J113" t="str" cm="1">
        <f t="array" ref="J11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13">
        <v>831</v>
      </c>
      <c r="L113" t="s">
        <v>17</v>
      </c>
      <c r="M113">
        <v>3</v>
      </c>
      <c r="N113">
        <v>406</v>
      </c>
      <c r="O113" t="str" cm="1">
        <f t="array" ref="O11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13" t="s">
        <v>56</v>
      </c>
      <c r="Q113" s="5">
        <v>18700</v>
      </c>
      <c r="R113">
        <v>12</v>
      </c>
      <c r="S113">
        <v>7.86</v>
      </c>
      <c r="T113">
        <v>1625.47</v>
      </c>
      <c r="U113">
        <v>94.1</v>
      </c>
      <c r="V113" t="str" cm="1">
        <f t="array" ref="V11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13" t="s">
        <v>21</v>
      </c>
      <c r="X113">
        <v>0</v>
      </c>
      <c r="Y113">
        <v>0</v>
      </c>
      <c r="Z113" s="5">
        <f>IF(Merge1[[#This Row],[loan_applications.defaulted]]=0,Merge1[[#This Row],[loan_applications.loan_amount]]*(Merge1[[#This Row],[loan_applications.interest_rate]]/100)*(Merge1[[#This Row],[loan_applications.term_months]]/12),0)</f>
        <v>1469.8200000000002</v>
      </c>
      <c r="AA113" s="5">
        <f>IF(Merge1[[#This Row],[loan_applications.defaulted]]=1,Merge1[[#This Row],[loan_applications.loan_amount]],0)</f>
        <v>0</v>
      </c>
    </row>
    <row r="114" spans="1:27" x14ac:dyDescent="0.35">
      <c r="A114" t="s">
        <v>272</v>
      </c>
      <c r="B114" t="s">
        <v>273</v>
      </c>
      <c r="C114" s="1">
        <v>45463</v>
      </c>
      <c r="D114">
        <v>48</v>
      </c>
      <c r="E114" t="s">
        <v>46</v>
      </c>
      <c r="F114" t="s">
        <v>68</v>
      </c>
      <c r="G114" t="s">
        <v>16</v>
      </c>
      <c r="H114">
        <v>9</v>
      </c>
      <c r="I114" s="5">
        <v>41743</v>
      </c>
      <c r="J114" t="str" cm="1">
        <f t="array" ref="J11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14">
        <v>531</v>
      </c>
      <c r="L114" t="s">
        <v>17</v>
      </c>
      <c r="M114">
        <v>2</v>
      </c>
      <c r="N114">
        <v>1911</v>
      </c>
      <c r="O114" t="str" cm="1">
        <f t="array" ref="O11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14" t="s">
        <v>23</v>
      </c>
      <c r="Q114" s="5">
        <v>13400</v>
      </c>
      <c r="R114">
        <v>48</v>
      </c>
      <c r="S114">
        <v>14.78</v>
      </c>
      <c r="T114">
        <v>371.44</v>
      </c>
      <c r="U114">
        <v>65.599999999999994</v>
      </c>
      <c r="V114" t="str" cm="1">
        <f t="array" ref="V11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14" t="s">
        <v>24</v>
      </c>
      <c r="X114">
        <v>118</v>
      </c>
      <c r="Y114">
        <v>1</v>
      </c>
      <c r="Z11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14" s="5">
        <f>IF(Merge1[[#This Row],[loan_applications.defaulted]]=1,Merge1[[#This Row],[loan_applications.loan_amount]],0)</f>
        <v>13400</v>
      </c>
    </row>
    <row r="115" spans="1:27" x14ac:dyDescent="0.35">
      <c r="A115" t="s">
        <v>274</v>
      </c>
      <c r="B115" t="s">
        <v>273</v>
      </c>
      <c r="C115" s="1">
        <v>45767</v>
      </c>
      <c r="D115">
        <v>48</v>
      </c>
      <c r="E115" t="s">
        <v>46</v>
      </c>
      <c r="F115" t="s">
        <v>68</v>
      </c>
      <c r="G115" t="s">
        <v>16</v>
      </c>
      <c r="H115">
        <v>9</v>
      </c>
      <c r="I115" s="5">
        <v>41743</v>
      </c>
      <c r="J115" t="str" cm="1">
        <f t="array" ref="J11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15">
        <v>531</v>
      </c>
      <c r="L115" t="s">
        <v>17</v>
      </c>
      <c r="M115">
        <v>2</v>
      </c>
      <c r="N115">
        <v>1911</v>
      </c>
      <c r="O115" t="str" cm="1">
        <f t="array" ref="O11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15" t="s">
        <v>60</v>
      </c>
      <c r="Q115" s="5">
        <v>34300</v>
      </c>
      <c r="R115">
        <v>12</v>
      </c>
      <c r="S115">
        <v>11.41</v>
      </c>
      <c r="T115">
        <v>3038.05</v>
      </c>
      <c r="U115">
        <v>142.30000000000001</v>
      </c>
      <c r="V115" t="str" cm="1">
        <f t="array" ref="V11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15" t="s">
        <v>24</v>
      </c>
      <c r="X115">
        <v>107</v>
      </c>
      <c r="Y115">
        <v>1</v>
      </c>
      <c r="Z11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15" s="5">
        <f>IF(Merge1[[#This Row],[loan_applications.defaulted]]=1,Merge1[[#This Row],[loan_applications.loan_amount]],0)</f>
        <v>34300</v>
      </c>
    </row>
    <row r="116" spans="1:27" x14ac:dyDescent="0.35">
      <c r="A116" t="s">
        <v>275</v>
      </c>
      <c r="B116" t="s">
        <v>276</v>
      </c>
      <c r="C116" s="1">
        <v>45440</v>
      </c>
      <c r="D116">
        <v>53</v>
      </c>
      <c r="E116" t="s">
        <v>118</v>
      </c>
      <c r="F116" t="s">
        <v>62</v>
      </c>
      <c r="G116" t="s">
        <v>26</v>
      </c>
      <c r="H116">
        <v>24</v>
      </c>
      <c r="I116" s="5">
        <v>96156</v>
      </c>
      <c r="J116" t="str" cm="1">
        <f t="array" ref="J11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16">
        <v>710</v>
      </c>
      <c r="L116" t="s">
        <v>34</v>
      </c>
      <c r="M116">
        <v>3</v>
      </c>
      <c r="N116">
        <v>4330</v>
      </c>
      <c r="O116" t="str" cm="1">
        <f t="array" ref="O11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16" t="s">
        <v>30</v>
      </c>
      <c r="Q116" s="5">
        <v>34800</v>
      </c>
      <c r="R116">
        <v>48</v>
      </c>
      <c r="S116">
        <v>10.54</v>
      </c>
      <c r="T116">
        <v>891.67</v>
      </c>
      <c r="U116">
        <v>65.2</v>
      </c>
      <c r="V116" t="str" cm="1">
        <f t="array" ref="V11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16" t="s">
        <v>41</v>
      </c>
      <c r="X116">
        <v>0</v>
      </c>
      <c r="Y116">
        <v>0</v>
      </c>
      <c r="Z116" s="5">
        <f>IF(Merge1[[#This Row],[loan_applications.defaulted]]=0,Merge1[[#This Row],[loan_applications.loan_amount]]*(Merge1[[#This Row],[loan_applications.interest_rate]]/100)*(Merge1[[#This Row],[loan_applications.term_months]]/12),0)</f>
        <v>14671.679999999998</v>
      </c>
      <c r="AA116" s="5">
        <f>IF(Merge1[[#This Row],[loan_applications.defaulted]]=1,Merge1[[#This Row],[loan_applications.loan_amount]],0)</f>
        <v>0</v>
      </c>
    </row>
    <row r="117" spans="1:27" x14ac:dyDescent="0.35">
      <c r="A117" t="s">
        <v>277</v>
      </c>
      <c r="B117" t="s">
        <v>278</v>
      </c>
      <c r="C117" s="1">
        <v>45836</v>
      </c>
      <c r="D117">
        <v>37</v>
      </c>
      <c r="E117" t="s">
        <v>162</v>
      </c>
      <c r="F117" t="s">
        <v>32</v>
      </c>
      <c r="G117" t="s">
        <v>26</v>
      </c>
      <c r="H117">
        <v>10</v>
      </c>
      <c r="I117" s="5">
        <v>90079</v>
      </c>
      <c r="J117" t="str" cm="1">
        <f t="array" ref="J11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17">
        <v>562</v>
      </c>
      <c r="L117" t="s">
        <v>17</v>
      </c>
      <c r="M117">
        <v>3</v>
      </c>
      <c r="N117">
        <v>1806</v>
      </c>
      <c r="O117" t="str" cm="1">
        <f t="array" ref="O11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17" t="s">
        <v>23</v>
      </c>
      <c r="Q117" s="5">
        <v>48200</v>
      </c>
      <c r="R117">
        <v>12</v>
      </c>
      <c r="S117">
        <v>11.12</v>
      </c>
      <c r="T117">
        <v>4262.6899999999996</v>
      </c>
      <c r="U117">
        <v>80.8</v>
      </c>
      <c r="V117" t="str" cm="1">
        <f t="array" ref="V11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17" t="s">
        <v>91</v>
      </c>
      <c r="X117">
        <v>30</v>
      </c>
      <c r="Y117">
        <v>0</v>
      </c>
      <c r="Z117" s="5">
        <f>IF(Merge1[[#This Row],[loan_applications.defaulted]]=0,Merge1[[#This Row],[loan_applications.loan_amount]]*(Merge1[[#This Row],[loan_applications.interest_rate]]/100)*(Merge1[[#This Row],[loan_applications.term_months]]/12),0)</f>
        <v>5359.8399999999992</v>
      </c>
      <c r="AA117" s="5">
        <f>IF(Merge1[[#This Row],[loan_applications.defaulted]]=1,Merge1[[#This Row],[loan_applications.loan_amount]],0)</f>
        <v>0</v>
      </c>
    </row>
    <row r="118" spans="1:27" x14ac:dyDescent="0.35">
      <c r="A118" t="s">
        <v>279</v>
      </c>
      <c r="B118" t="s">
        <v>280</v>
      </c>
      <c r="C118" s="1">
        <v>45692</v>
      </c>
      <c r="D118">
        <v>64</v>
      </c>
      <c r="E118" t="s">
        <v>157</v>
      </c>
      <c r="F118" t="s">
        <v>62</v>
      </c>
      <c r="G118" t="s">
        <v>16</v>
      </c>
      <c r="H118">
        <v>8</v>
      </c>
      <c r="I118" s="5">
        <v>67650</v>
      </c>
      <c r="J118" t="str" cm="1">
        <f t="array" ref="J11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18">
        <v>553</v>
      </c>
      <c r="L118" t="s">
        <v>34</v>
      </c>
      <c r="M118">
        <v>1</v>
      </c>
      <c r="N118">
        <v>564</v>
      </c>
      <c r="O118" t="str" cm="1">
        <f t="array" ref="O11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18" t="s">
        <v>37</v>
      </c>
      <c r="Q118" s="5">
        <v>14100</v>
      </c>
      <c r="R118">
        <v>12</v>
      </c>
      <c r="S118">
        <v>12.06</v>
      </c>
      <c r="T118">
        <v>1253.1600000000001</v>
      </c>
      <c r="U118">
        <v>32.200000000000003</v>
      </c>
      <c r="V118" t="str" cm="1">
        <f t="array" ref="V11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18" t="s">
        <v>41</v>
      </c>
      <c r="X118">
        <v>0</v>
      </c>
      <c r="Y118">
        <v>0</v>
      </c>
      <c r="Z118" s="5">
        <f>IF(Merge1[[#This Row],[loan_applications.defaulted]]=0,Merge1[[#This Row],[loan_applications.loan_amount]]*(Merge1[[#This Row],[loan_applications.interest_rate]]/100)*(Merge1[[#This Row],[loan_applications.term_months]]/12),0)</f>
        <v>1700.46</v>
      </c>
      <c r="AA118" s="5">
        <f>IF(Merge1[[#This Row],[loan_applications.defaulted]]=1,Merge1[[#This Row],[loan_applications.loan_amount]],0)</f>
        <v>0</v>
      </c>
    </row>
    <row r="119" spans="1:27" x14ac:dyDescent="0.35">
      <c r="A119" t="s">
        <v>281</v>
      </c>
      <c r="B119" t="s">
        <v>280</v>
      </c>
      <c r="C119" s="1">
        <v>45302</v>
      </c>
      <c r="D119">
        <v>64</v>
      </c>
      <c r="E119" t="s">
        <v>157</v>
      </c>
      <c r="F119" t="s">
        <v>62</v>
      </c>
      <c r="G119" t="s">
        <v>16</v>
      </c>
      <c r="H119">
        <v>8</v>
      </c>
      <c r="I119" s="5">
        <v>67650</v>
      </c>
      <c r="J119" t="str" cm="1">
        <f t="array" ref="J11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19">
        <v>553</v>
      </c>
      <c r="L119" t="s">
        <v>34</v>
      </c>
      <c r="M119">
        <v>1</v>
      </c>
      <c r="N119">
        <v>564</v>
      </c>
      <c r="O119" t="str" cm="1">
        <f t="array" ref="O11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19" t="s">
        <v>71</v>
      </c>
      <c r="Q119" s="5">
        <v>27000</v>
      </c>
      <c r="R119">
        <v>24</v>
      </c>
      <c r="S119">
        <v>12.35</v>
      </c>
      <c r="T119">
        <v>1275.4000000000001</v>
      </c>
      <c r="U119">
        <v>32.6</v>
      </c>
      <c r="V119" t="str" cm="1">
        <f t="array" ref="V11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19" t="s">
        <v>41</v>
      </c>
      <c r="X119">
        <v>0</v>
      </c>
      <c r="Y119">
        <v>0</v>
      </c>
      <c r="Z119" s="5">
        <f>IF(Merge1[[#This Row],[loan_applications.defaulted]]=0,Merge1[[#This Row],[loan_applications.loan_amount]]*(Merge1[[#This Row],[loan_applications.interest_rate]]/100)*(Merge1[[#This Row],[loan_applications.term_months]]/12),0)</f>
        <v>6669</v>
      </c>
      <c r="AA119" s="5">
        <f>IF(Merge1[[#This Row],[loan_applications.defaulted]]=1,Merge1[[#This Row],[loan_applications.loan_amount]],0)</f>
        <v>0</v>
      </c>
    </row>
    <row r="120" spans="1:27" x14ac:dyDescent="0.35">
      <c r="A120" t="s">
        <v>282</v>
      </c>
      <c r="B120" t="s">
        <v>283</v>
      </c>
      <c r="C120" s="1">
        <v>45326</v>
      </c>
      <c r="D120">
        <v>50</v>
      </c>
      <c r="E120" t="s">
        <v>193</v>
      </c>
      <c r="F120" t="s">
        <v>15</v>
      </c>
      <c r="G120" t="s">
        <v>33</v>
      </c>
      <c r="H120">
        <v>13</v>
      </c>
      <c r="I120" s="5">
        <v>22940</v>
      </c>
      <c r="J120" t="str" cm="1">
        <f t="array" ref="J12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20">
        <v>598</v>
      </c>
      <c r="L120" t="s">
        <v>17</v>
      </c>
      <c r="M120">
        <v>0</v>
      </c>
      <c r="N120">
        <v>842</v>
      </c>
      <c r="O120" t="str" cm="1">
        <f t="array" ref="O12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20" t="s">
        <v>54</v>
      </c>
      <c r="Q120" s="5">
        <v>10300</v>
      </c>
      <c r="R120">
        <v>36</v>
      </c>
      <c r="S120">
        <v>11.29</v>
      </c>
      <c r="T120">
        <v>338.63</v>
      </c>
      <c r="U120">
        <v>61.8</v>
      </c>
      <c r="V120" t="str" cm="1">
        <f t="array" ref="V12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20" t="s">
        <v>24</v>
      </c>
      <c r="X120">
        <v>53</v>
      </c>
      <c r="Y120">
        <v>1</v>
      </c>
      <c r="Z12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20" s="5">
        <f>IF(Merge1[[#This Row],[loan_applications.defaulted]]=1,Merge1[[#This Row],[loan_applications.loan_amount]],0)</f>
        <v>10300</v>
      </c>
    </row>
    <row r="121" spans="1:27" x14ac:dyDescent="0.35">
      <c r="A121" t="s">
        <v>284</v>
      </c>
      <c r="B121" t="s">
        <v>285</v>
      </c>
      <c r="C121" s="1">
        <v>45414</v>
      </c>
      <c r="D121">
        <v>38</v>
      </c>
      <c r="E121" t="s">
        <v>118</v>
      </c>
      <c r="F121" t="s">
        <v>68</v>
      </c>
      <c r="G121" t="s">
        <v>16</v>
      </c>
      <c r="H121">
        <v>17</v>
      </c>
      <c r="I121" s="5">
        <v>59422</v>
      </c>
      <c r="J121" t="str" cm="1">
        <f t="array" ref="J12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21">
        <v>698</v>
      </c>
      <c r="L121" t="s">
        <v>34</v>
      </c>
      <c r="M121">
        <v>2</v>
      </c>
      <c r="N121">
        <v>2444</v>
      </c>
      <c r="O121" t="str" cm="1">
        <f t="array" ref="O12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21" t="s">
        <v>71</v>
      </c>
      <c r="Q121" s="5">
        <v>42100</v>
      </c>
      <c r="R121">
        <v>60</v>
      </c>
      <c r="S121">
        <v>11.56</v>
      </c>
      <c r="T121">
        <v>927.16</v>
      </c>
      <c r="U121">
        <v>68.099999999999994</v>
      </c>
      <c r="V121" t="str" cm="1">
        <f t="array" ref="V12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21" t="s">
        <v>24</v>
      </c>
      <c r="X121">
        <v>63</v>
      </c>
      <c r="Y121">
        <v>1</v>
      </c>
      <c r="Z12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21" s="5">
        <f>IF(Merge1[[#This Row],[loan_applications.defaulted]]=1,Merge1[[#This Row],[loan_applications.loan_amount]],0)</f>
        <v>42100</v>
      </c>
    </row>
    <row r="122" spans="1:27" x14ac:dyDescent="0.35">
      <c r="A122" t="s">
        <v>286</v>
      </c>
      <c r="B122" t="s">
        <v>287</v>
      </c>
      <c r="C122" s="1">
        <v>45551</v>
      </c>
      <c r="D122">
        <v>53</v>
      </c>
      <c r="E122" t="s">
        <v>79</v>
      </c>
      <c r="F122" t="s">
        <v>62</v>
      </c>
      <c r="G122" t="s">
        <v>26</v>
      </c>
      <c r="H122">
        <v>18</v>
      </c>
      <c r="I122" s="5">
        <v>60470</v>
      </c>
      <c r="J122" t="str" cm="1">
        <f t="array" ref="J12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22">
        <v>850</v>
      </c>
      <c r="L122" t="s">
        <v>17</v>
      </c>
      <c r="M122">
        <v>0</v>
      </c>
      <c r="N122">
        <v>2716</v>
      </c>
      <c r="O122" t="str" cm="1">
        <f t="array" ref="O12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22" t="s">
        <v>71</v>
      </c>
      <c r="Q122" s="5">
        <v>10900</v>
      </c>
      <c r="R122">
        <v>12</v>
      </c>
      <c r="S122">
        <v>9.31</v>
      </c>
      <c r="T122">
        <v>954.79</v>
      </c>
      <c r="U122">
        <v>72.8</v>
      </c>
      <c r="V122" t="str" cm="1">
        <f t="array" ref="V12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22" t="s">
        <v>41</v>
      </c>
      <c r="X122">
        <v>0</v>
      </c>
      <c r="Y122">
        <v>0</v>
      </c>
      <c r="Z122" s="5">
        <f>IF(Merge1[[#This Row],[loan_applications.defaulted]]=0,Merge1[[#This Row],[loan_applications.loan_amount]]*(Merge1[[#This Row],[loan_applications.interest_rate]]/100)*(Merge1[[#This Row],[loan_applications.term_months]]/12),0)</f>
        <v>1014.7900000000001</v>
      </c>
      <c r="AA122" s="5">
        <f>IF(Merge1[[#This Row],[loan_applications.defaulted]]=1,Merge1[[#This Row],[loan_applications.loan_amount]],0)</f>
        <v>0</v>
      </c>
    </row>
    <row r="123" spans="1:27" x14ac:dyDescent="0.35">
      <c r="A123" t="s">
        <v>288</v>
      </c>
      <c r="B123" t="s">
        <v>289</v>
      </c>
      <c r="C123" s="1">
        <v>45367</v>
      </c>
      <c r="D123">
        <v>62</v>
      </c>
      <c r="E123" t="s">
        <v>57</v>
      </c>
      <c r="F123" t="s">
        <v>62</v>
      </c>
      <c r="G123" t="s">
        <v>26</v>
      </c>
      <c r="H123">
        <v>1</v>
      </c>
      <c r="I123" s="5">
        <v>68874</v>
      </c>
      <c r="J123" t="str" cm="1">
        <f t="array" ref="J12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23">
        <v>688</v>
      </c>
      <c r="L123" t="s">
        <v>27</v>
      </c>
      <c r="M123">
        <v>0</v>
      </c>
      <c r="N123">
        <v>1315</v>
      </c>
      <c r="O123" t="str" cm="1">
        <f t="array" ref="O12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23" t="s">
        <v>37</v>
      </c>
      <c r="Q123" s="5">
        <v>35200</v>
      </c>
      <c r="R123">
        <v>36</v>
      </c>
      <c r="S123">
        <v>9.82</v>
      </c>
      <c r="T123">
        <v>1132.83</v>
      </c>
      <c r="U123">
        <v>42.6</v>
      </c>
      <c r="V123" t="str" cm="1">
        <f t="array" ref="V12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23" t="s">
        <v>24</v>
      </c>
      <c r="X123">
        <v>45</v>
      </c>
      <c r="Y123">
        <v>1</v>
      </c>
      <c r="Z12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23" s="5">
        <f>IF(Merge1[[#This Row],[loan_applications.defaulted]]=1,Merge1[[#This Row],[loan_applications.loan_amount]],0)</f>
        <v>35200</v>
      </c>
    </row>
    <row r="124" spans="1:27" x14ac:dyDescent="0.35">
      <c r="A124" t="s">
        <v>290</v>
      </c>
      <c r="B124" t="s">
        <v>291</v>
      </c>
      <c r="C124" s="1">
        <v>45363</v>
      </c>
      <c r="D124">
        <v>49</v>
      </c>
      <c r="E124" t="s">
        <v>252</v>
      </c>
      <c r="F124" t="s">
        <v>15</v>
      </c>
      <c r="G124" t="s">
        <v>26</v>
      </c>
      <c r="H124">
        <v>5</v>
      </c>
      <c r="I124" s="5">
        <v>42320</v>
      </c>
      <c r="J124" t="str" cm="1">
        <f t="array" ref="J12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24">
        <v>622</v>
      </c>
      <c r="L124" t="s">
        <v>27</v>
      </c>
      <c r="M124">
        <v>3</v>
      </c>
      <c r="N124">
        <v>1269</v>
      </c>
      <c r="O124" t="str" cm="1">
        <f t="array" ref="O12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24" t="s">
        <v>45</v>
      </c>
      <c r="Q124" s="5">
        <v>14400</v>
      </c>
      <c r="R124">
        <v>36</v>
      </c>
      <c r="S124">
        <v>10.52</v>
      </c>
      <c r="T124">
        <v>468.17</v>
      </c>
      <c r="U124">
        <v>49.3</v>
      </c>
      <c r="V124" t="str" cm="1">
        <f t="array" ref="V12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24" t="s">
        <v>91</v>
      </c>
      <c r="X124">
        <v>15</v>
      </c>
      <c r="Y124">
        <v>0</v>
      </c>
      <c r="Z124" s="5">
        <f>IF(Merge1[[#This Row],[loan_applications.defaulted]]=0,Merge1[[#This Row],[loan_applications.loan_amount]]*(Merge1[[#This Row],[loan_applications.interest_rate]]/100)*(Merge1[[#This Row],[loan_applications.term_months]]/12),0)</f>
        <v>4544.6400000000003</v>
      </c>
      <c r="AA124" s="5">
        <f>IF(Merge1[[#This Row],[loan_applications.defaulted]]=1,Merge1[[#This Row],[loan_applications.loan_amount]],0)</f>
        <v>0</v>
      </c>
    </row>
    <row r="125" spans="1:27" x14ac:dyDescent="0.35">
      <c r="A125" t="s">
        <v>292</v>
      </c>
      <c r="B125" t="s">
        <v>293</v>
      </c>
      <c r="C125" s="1">
        <v>45400</v>
      </c>
      <c r="D125">
        <v>37</v>
      </c>
      <c r="E125" t="s">
        <v>125</v>
      </c>
      <c r="F125" t="s">
        <v>32</v>
      </c>
      <c r="G125" t="s">
        <v>63</v>
      </c>
      <c r="H125">
        <v>8</v>
      </c>
      <c r="I125" s="5">
        <v>30477</v>
      </c>
      <c r="J125" t="str" cm="1">
        <f t="array" ref="J12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25">
        <v>850</v>
      </c>
      <c r="L125" t="s">
        <v>34</v>
      </c>
      <c r="M125">
        <v>0</v>
      </c>
      <c r="N125">
        <v>1148</v>
      </c>
      <c r="O125" t="str" cm="1">
        <f t="array" ref="O12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25" t="s">
        <v>20</v>
      </c>
      <c r="Q125" s="5">
        <v>8000</v>
      </c>
      <c r="R125">
        <v>48</v>
      </c>
      <c r="S125">
        <v>6.93</v>
      </c>
      <c r="T125">
        <v>191.31</v>
      </c>
      <c r="U125">
        <v>52.7</v>
      </c>
      <c r="V125" t="str" cm="1">
        <f t="array" ref="V12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25" t="s">
        <v>41</v>
      </c>
      <c r="X125">
        <v>0</v>
      </c>
      <c r="Y125">
        <v>0</v>
      </c>
      <c r="Z125" s="5">
        <f>IF(Merge1[[#This Row],[loan_applications.defaulted]]=0,Merge1[[#This Row],[loan_applications.loan_amount]]*(Merge1[[#This Row],[loan_applications.interest_rate]]/100)*(Merge1[[#This Row],[loan_applications.term_months]]/12),0)</f>
        <v>2217.6</v>
      </c>
      <c r="AA125" s="5">
        <f>IF(Merge1[[#This Row],[loan_applications.defaulted]]=1,Merge1[[#This Row],[loan_applications.loan_amount]],0)</f>
        <v>0</v>
      </c>
    </row>
    <row r="126" spans="1:27" x14ac:dyDescent="0.35">
      <c r="A126" t="s">
        <v>294</v>
      </c>
      <c r="B126" t="s">
        <v>295</v>
      </c>
      <c r="C126" s="1">
        <v>45444</v>
      </c>
      <c r="D126">
        <v>40</v>
      </c>
      <c r="E126" t="s">
        <v>92</v>
      </c>
      <c r="F126" t="s">
        <v>32</v>
      </c>
      <c r="G126" t="s">
        <v>26</v>
      </c>
      <c r="H126">
        <v>18</v>
      </c>
      <c r="I126" s="5">
        <v>68782</v>
      </c>
      <c r="J126" t="str" cm="1">
        <f t="array" ref="J12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26">
        <v>711</v>
      </c>
      <c r="L126" t="s">
        <v>34</v>
      </c>
      <c r="M126">
        <v>2</v>
      </c>
      <c r="N126">
        <v>1595</v>
      </c>
      <c r="O126" t="str" cm="1">
        <f t="array" ref="O12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26" t="s">
        <v>71</v>
      </c>
      <c r="Q126" s="5">
        <v>39300</v>
      </c>
      <c r="R126">
        <v>12</v>
      </c>
      <c r="S126">
        <v>12.63</v>
      </c>
      <c r="T126">
        <v>3503.35</v>
      </c>
      <c r="U126">
        <v>88.9</v>
      </c>
      <c r="V126" t="str" cm="1">
        <f t="array" ref="V12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26" t="s">
        <v>41</v>
      </c>
      <c r="X126">
        <v>0</v>
      </c>
      <c r="Y126">
        <v>0</v>
      </c>
      <c r="Z126" s="5">
        <f>IF(Merge1[[#This Row],[loan_applications.defaulted]]=0,Merge1[[#This Row],[loan_applications.loan_amount]]*(Merge1[[#This Row],[loan_applications.interest_rate]]/100)*(Merge1[[#This Row],[loan_applications.term_months]]/12),0)</f>
        <v>4963.59</v>
      </c>
      <c r="AA126" s="5">
        <f>IF(Merge1[[#This Row],[loan_applications.defaulted]]=1,Merge1[[#This Row],[loan_applications.loan_amount]],0)</f>
        <v>0</v>
      </c>
    </row>
    <row r="127" spans="1:27" x14ac:dyDescent="0.35">
      <c r="A127" t="s">
        <v>296</v>
      </c>
      <c r="B127" t="s">
        <v>297</v>
      </c>
      <c r="C127" s="1">
        <v>45794</v>
      </c>
      <c r="D127">
        <v>41</v>
      </c>
      <c r="E127" t="s">
        <v>157</v>
      </c>
      <c r="F127" t="s">
        <v>15</v>
      </c>
      <c r="G127" t="s">
        <v>26</v>
      </c>
      <c r="H127">
        <v>12</v>
      </c>
      <c r="I127" s="5">
        <v>39408</v>
      </c>
      <c r="J127" t="str" cm="1">
        <f t="array" ref="J12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27">
        <v>646</v>
      </c>
      <c r="L127" t="s">
        <v>34</v>
      </c>
      <c r="M127">
        <v>0</v>
      </c>
      <c r="N127">
        <v>1312</v>
      </c>
      <c r="O127" t="str" cm="1">
        <f t="array" ref="O12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27" t="s">
        <v>50</v>
      </c>
      <c r="Q127" s="5">
        <v>40800</v>
      </c>
      <c r="R127">
        <v>60</v>
      </c>
      <c r="S127">
        <v>9.25</v>
      </c>
      <c r="T127">
        <v>851.9</v>
      </c>
      <c r="U127">
        <v>65.900000000000006</v>
      </c>
      <c r="V127" t="str" cm="1">
        <f t="array" ref="V12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27" t="s">
        <v>21</v>
      </c>
      <c r="X127">
        <v>0</v>
      </c>
      <c r="Y127">
        <v>0</v>
      </c>
      <c r="Z127" s="5">
        <f>IF(Merge1[[#This Row],[loan_applications.defaulted]]=0,Merge1[[#This Row],[loan_applications.loan_amount]]*(Merge1[[#This Row],[loan_applications.interest_rate]]/100)*(Merge1[[#This Row],[loan_applications.term_months]]/12),0)</f>
        <v>18870</v>
      </c>
      <c r="AA127" s="5">
        <f>IF(Merge1[[#This Row],[loan_applications.defaulted]]=1,Merge1[[#This Row],[loan_applications.loan_amount]],0)</f>
        <v>0</v>
      </c>
    </row>
    <row r="128" spans="1:27" x14ac:dyDescent="0.35">
      <c r="A128" t="s">
        <v>298</v>
      </c>
      <c r="B128" t="s">
        <v>299</v>
      </c>
      <c r="C128" s="1">
        <v>45659</v>
      </c>
      <c r="D128">
        <v>23</v>
      </c>
      <c r="E128" t="s">
        <v>79</v>
      </c>
      <c r="F128" t="s">
        <v>47</v>
      </c>
      <c r="G128" t="s">
        <v>16</v>
      </c>
      <c r="H128">
        <v>0</v>
      </c>
      <c r="I128" s="5">
        <v>95183</v>
      </c>
      <c r="J128" t="str" cm="1">
        <f t="array" ref="J12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28">
        <v>829</v>
      </c>
      <c r="L128" t="s">
        <v>17</v>
      </c>
      <c r="M128">
        <v>1</v>
      </c>
      <c r="N128">
        <v>3982</v>
      </c>
      <c r="O128" t="str" cm="1">
        <f t="array" ref="O12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28" t="s">
        <v>54</v>
      </c>
      <c r="Q128" s="5">
        <v>2200</v>
      </c>
      <c r="R128">
        <v>48</v>
      </c>
      <c r="S128">
        <v>6.79</v>
      </c>
      <c r="T128">
        <v>52.47</v>
      </c>
      <c r="U128">
        <v>50.9</v>
      </c>
      <c r="V128" t="str" cm="1">
        <f t="array" ref="V12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28" t="s">
        <v>41</v>
      </c>
      <c r="X128">
        <v>0</v>
      </c>
      <c r="Y128">
        <v>0</v>
      </c>
      <c r="Z128" s="5">
        <f>IF(Merge1[[#This Row],[loan_applications.defaulted]]=0,Merge1[[#This Row],[loan_applications.loan_amount]]*(Merge1[[#This Row],[loan_applications.interest_rate]]/100)*(Merge1[[#This Row],[loan_applications.term_months]]/12),0)</f>
        <v>597.52</v>
      </c>
      <c r="AA128" s="5">
        <f>IF(Merge1[[#This Row],[loan_applications.defaulted]]=1,Merge1[[#This Row],[loan_applications.loan_amount]],0)</f>
        <v>0</v>
      </c>
    </row>
    <row r="129" spans="1:27" x14ac:dyDescent="0.35">
      <c r="A129" t="s">
        <v>300</v>
      </c>
      <c r="B129" t="s">
        <v>299</v>
      </c>
      <c r="C129" s="1">
        <v>45762</v>
      </c>
      <c r="D129">
        <v>23</v>
      </c>
      <c r="E129" t="s">
        <v>79</v>
      </c>
      <c r="F129" t="s">
        <v>47</v>
      </c>
      <c r="G129" t="s">
        <v>16</v>
      </c>
      <c r="H129">
        <v>0</v>
      </c>
      <c r="I129" s="5">
        <v>95183</v>
      </c>
      <c r="J129" t="str" cm="1">
        <f t="array" ref="J12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29">
        <v>829</v>
      </c>
      <c r="L129" t="s">
        <v>17</v>
      </c>
      <c r="M129">
        <v>1</v>
      </c>
      <c r="N129">
        <v>3982</v>
      </c>
      <c r="O129" t="str" cm="1">
        <f t="array" ref="O12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29" t="s">
        <v>54</v>
      </c>
      <c r="Q129" s="5">
        <v>43000</v>
      </c>
      <c r="R129">
        <v>36</v>
      </c>
      <c r="S129">
        <v>6.59</v>
      </c>
      <c r="T129">
        <v>1319.67</v>
      </c>
      <c r="U129">
        <v>66.8</v>
      </c>
      <c r="V129" t="str" cm="1">
        <f t="array" ref="V12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29" t="s">
        <v>41</v>
      </c>
      <c r="X129">
        <v>0</v>
      </c>
      <c r="Y129">
        <v>0</v>
      </c>
      <c r="Z129" s="5">
        <f>IF(Merge1[[#This Row],[loan_applications.defaulted]]=0,Merge1[[#This Row],[loan_applications.loan_amount]]*(Merge1[[#This Row],[loan_applications.interest_rate]]/100)*(Merge1[[#This Row],[loan_applications.term_months]]/12),0)</f>
        <v>8501.0999999999985</v>
      </c>
      <c r="AA129" s="5">
        <f>IF(Merge1[[#This Row],[loan_applications.defaulted]]=1,Merge1[[#This Row],[loan_applications.loan_amount]],0)</f>
        <v>0</v>
      </c>
    </row>
    <row r="130" spans="1:27" x14ac:dyDescent="0.35">
      <c r="A130" t="s">
        <v>301</v>
      </c>
      <c r="B130" t="s">
        <v>302</v>
      </c>
      <c r="C130" s="1">
        <v>45659</v>
      </c>
      <c r="D130">
        <v>40</v>
      </c>
      <c r="E130" t="s">
        <v>31</v>
      </c>
      <c r="F130" t="s">
        <v>62</v>
      </c>
      <c r="G130" t="s">
        <v>26</v>
      </c>
      <c r="H130">
        <v>20</v>
      </c>
      <c r="I130" s="5">
        <v>123405</v>
      </c>
      <c r="J130" t="str" cm="1">
        <f t="array" ref="J13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30">
        <v>662</v>
      </c>
      <c r="L130" t="s">
        <v>27</v>
      </c>
      <c r="M130">
        <v>2</v>
      </c>
      <c r="N130">
        <v>4221</v>
      </c>
      <c r="O130" t="str" cm="1">
        <f t="array" ref="O13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30" t="s">
        <v>23</v>
      </c>
      <c r="Q130" s="5">
        <v>16300</v>
      </c>
      <c r="R130">
        <v>48</v>
      </c>
      <c r="S130">
        <v>13.45</v>
      </c>
      <c r="T130">
        <v>440.94</v>
      </c>
      <c r="U130">
        <v>45.3</v>
      </c>
      <c r="V130" t="str" cm="1">
        <f t="array" ref="V13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30" t="s">
        <v>91</v>
      </c>
      <c r="X130">
        <v>15</v>
      </c>
      <c r="Y130">
        <v>0</v>
      </c>
      <c r="Z130" s="5">
        <f>IF(Merge1[[#This Row],[loan_applications.defaulted]]=0,Merge1[[#This Row],[loan_applications.loan_amount]]*(Merge1[[#This Row],[loan_applications.interest_rate]]/100)*(Merge1[[#This Row],[loan_applications.term_months]]/12),0)</f>
        <v>8769.4</v>
      </c>
      <c r="AA130" s="5">
        <f>IF(Merge1[[#This Row],[loan_applications.defaulted]]=1,Merge1[[#This Row],[loan_applications.loan_amount]],0)</f>
        <v>0</v>
      </c>
    </row>
    <row r="131" spans="1:27" x14ac:dyDescent="0.35">
      <c r="A131" t="s">
        <v>303</v>
      </c>
      <c r="B131" t="s">
        <v>304</v>
      </c>
      <c r="C131" s="1">
        <v>45690</v>
      </c>
      <c r="D131">
        <v>64</v>
      </c>
      <c r="E131" t="s">
        <v>95</v>
      </c>
      <c r="F131" t="s">
        <v>32</v>
      </c>
      <c r="G131" t="s">
        <v>26</v>
      </c>
      <c r="H131">
        <v>2</v>
      </c>
      <c r="I131" s="5">
        <v>46799</v>
      </c>
      <c r="J131" t="str" cm="1">
        <f t="array" ref="J13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31">
        <v>850</v>
      </c>
      <c r="L131" t="s">
        <v>34</v>
      </c>
      <c r="M131">
        <v>0</v>
      </c>
      <c r="N131">
        <v>906</v>
      </c>
      <c r="O131" t="str" cm="1">
        <f t="array" ref="O13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31" t="s">
        <v>60</v>
      </c>
      <c r="Q131" s="5">
        <v>18500</v>
      </c>
      <c r="R131">
        <v>60</v>
      </c>
      <c r="S131">
        <v>7.03</v>
      </c>
      <c r="T131">
        <v>366.58</v>
      </c>
      <c r="U131">
        <v>32.6</v>
      </c>
      <c r="V131" t="str" cm="1">
        <f t="array" ref="V13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31" t="s">
        <v>24</v>
      </c>
      <c r="X131">
        <v>168</v>
      </c>
      <c r="Y131">
        <v>1</v>
      </c>
      <c r="Z13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31" s="5">
        <f>IF(Merge1[[#This Row],[loan_applications.defaulted]]=1,Merge1[[#This Row],[loan_applications.loan_amount]],0)</f>
        <v>18500</v>
      </c>
    </row>
    <row r="132" spans="1:27" x14ac:dyDescent="0.35">
      <c r="A132" t="s">
        <v>305</v>
      </c>
      <c r="B132" t="s">
        <v>306</v>
      </c>
      <c r="C132" s="1">
        <v>45308</v>
      </c>
      <c r="D132">
        <v>30</v>
      </c>
      <c r="E132" t="s">
        <v>109</v>
      </c>
      <c r="F132" t="s">
        <v>15</v>
      </c>
      <c r="G132" t="s">
        <v>26</v>
      </c>
      <c r="H132">
        <v>3</v>
      </c>
      <c r="I132" s="5">
        <v>48711</v>
      </c>
      <c r="J132" t="str" cm="1">
        <f t="array" ref="J13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32">
        <v>619</v>
      </c>
      <c r="L132" t="s">
        <v>27</v>
      </c>
      <c r="M132">
        <v>3</v>
      </c>
      <c r="N132">
        <v>945</v>
      </c>
      <c r="O132" t="str" cm="1">
        <f t="array" ref="O13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32" t="s">
        <v>20</v>
      </c>
      <c r="Q132" s="5">
        <v>38600</v>
      </c>
      <c r="R132">
        <v>48</v>
      </c>
      <c r="S132">
        <v>14.52</v>
      </c>
      <c r="T132">
        <v>1064.9000000000001</v>
      </c>
      <c r="U132">
        <v>49.5</v>
      </c>
      <c r="V132" t="str" cm="1">
        <f t="array" ref="V13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32" t="s">
        <v>24</v>
      </c>
      <c r="X132">
        <v>44</v>
      </c>
      <c r="Y132">
        <v>1</v>
      </c>
      <c r="Z13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32" s="5">
        <f>IF(Merge1[[#This Row],[loan_applications.defaulted]]=1,Merge1[[#This Row],[loan_applications.loan_amount]],0)</f>
        <v>38600</v>
      </c>
    </row>
    <row r="133" spans="1:27" x14ac:dyDescent="0.35">
      <c r="A133" t="s">
        <v>307</v>
      </c>
      <c r="B133" t="s">
        <v>308</v>
      </c>
      <c r="C133" s="1">
        <v>45444</v>
      </c>
      <c r="D133">
        <v>54</v>
      </c>
      <c r="E133" t="s">
        <v>118</v>
      </c>
      <c r="F133" t="s">
        <v>62</v>
      </c>
      <c r="G133" t="s">
        <v>33</v>
      </c>
      <c r="H133">
        <v>18</v>
      </c>
      <c r="I133" s="5">
        <v>76648</v>
      </c>
      <c r="J133" t="str" cm="1">
        <f t="array" ref="J13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33">
        <v>781</v>
      </c>
      <c r="L133" t="s">
        <v>17</v>
      </c>
      <c r="M133">
        <v>3</v>
      </c>
      <c r="N133">
        <v>1815</v>
      </c>
      <c r="O133" t="str" cm="1">
        <f t="array" ref="O13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33" t="s">
        <v>60</v>
      </c>
      <c r="Q133" s="5">
        <v>12200</v>
      </c>
      <c r="R133">
        <v>60</v>
      </c>
      <c r="S133">
        <v>9.2799999999999994</v>
      </c>
      <c r="T133">
        <v>254.91</v>
      </c>
      <c r="U133">
        <v>32.4</v>
      </c>
      <c r="V133" t="str" cm="1">
        <f t="array" ref="V13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33" t="s">
        <v>41</v>
      </c>
      <c r="X133">
        <v>0</v>
      </c>
      <c r="Y133">
        <v>0</v>
      </c>
      <c r="Z133" s="5">
        <f>IF(Merge1[[#This Row],[loan_applications.defaulted]]=0,Merge1[[#This Row],[loan_applications.loan_amount]]*(Merge1[[#This Row],[loan_applications.interest_rate]]/100)*(Merge1[[#This Row],[loan_applications.term_months]]/12),0)</f>
        <v>5660.7999999999993</v>
      </c>
      <c r="AA133" s="5">
        <f>IF(Merge1[[#This Row],[loan_applications.defaulted]]=1,Merge1[[#This Row],[loan_applications.loan_amount]],0)</f>
        <v>0</v>
      </c>
    </row>
    <row r="134" spans="1:27" x14ac:dyDescent="0.35">
      <c r="A134" t="s">
        <v>309</v>
      </c>
      <c r="B134" t="s">
        <v>310</v>
      </c>
      <c r="C134" s="1">
        <v>45425</v>
      </c>
      <c r="D134">
        <v>26</v>
      </c>
      <c r="E134" t="s">
        <v>139</v>
      </c>
      <c r="F134" t="s">
        <v>15</v>
      </c>
      <c r="G134" t="s">
        <v>75</v>
      </c>
      <c r="H134">
        <v>6</v>
      </c>
      <c r="I134" s="5">
        <v>31605</v>
      </c>
      <c r="J134" t="str" cm="1">
        <f t="array" ref="J13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34">
        <v>728</v>
      </c>
      <c r="L134" t="s">
        <v>17</v>
      </c>
      <c r="M134">
        <v>0</v>
      </c>
      <c r="N134">
        <v>651</v>
      </c>
      <c r="O134" t="str" cm="1">
        <f t="array" ref="O13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34" t="s">
        <v>20</v>
      </c>
      <c r="Q134" s="5">
        <v>17200</v>
      </c>
      <c r="R134">
        <v>60</v>
      </c>
      <c r="S134">
        <v>8.1</v>
      </c>
      <c r="T134">
        <v>349.58</v>
      </c>
      <c r="U134">
        <v>38</v>
      </c>
      <c r="V134" t="str" cm="1">
        <f t="array" ref="V13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34" t="s">
        <v>24</v>
      </c>
      <c r="X134">
        <v>42</v>
      </c>
      <c r="Y134">
        <v>1</v>
      </c>
      <c r="Z13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34" s="5">
        <f>IF(Merge1[[#This Row],[loan_applications.defaulted]]=1,Merge1[[#This Row],[loan_applications.loan_amount]],0)</f>
        <v>17200</v>
      </c>
    </row>
    <row r="135" spans="1:27" x14ac:dyDescent="0.35">
      <c r="A135" t="s">
        <v>311</v>
      </c>
      <c r="B135" t="s">
        <v>312</v>
      </c>
      <c r="C135" s="1">
        <v>45400</v>
      </c>
      <c r="D135">
        <v>38</v>
      </c>
      <c r="E135" t="s">
        <v>25</v>
      </c>
      <c r="F135" t="s">
        <v>32</v>
      </c>
      <c r="G135" t="s">
        <v>26</v>
      </c>
      <c r="H135">
        <v>18</v>
      </c>
      <c r="I135" s="5">
        <v>83526</v>
      </c>
      <c r="J135" t="str" cm="1">
        <f t="array" ref="J13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35">
        <v>674</v>
      </c>
      <c r="L135" t="s">
        <v>34</v>
      </c>
      <c r="M135">
        <v>3</v>
      </c>
      <c r="N135">
        <v>725</v>
      </c>
      <c r="O135" t="str" cm="1">
        <f t="array" ref="O13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35" t="s">
        <v>54</v>
      </c>
      <c r="Q135" s="5">
        <v>10200</v>
      </c>
      <c r="R135">
        <v>60</v>
      </c>
      <c r="S135">
        <v>9.09</v>
      </c>
      <c r="T135">
        <v>212.18</v>
      </c>
      <c r="U135">
        <v>13.5</v>
      </c>
      <c r="V135" t="str" cm="1">
        <f t="array" ref="V13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35" t="s">
        <v>24</v>
      </c>
      <c r="X135">
        <v>86</v>
      </c>
      <c r="Y135">
        <v>1</v>
      </c>
      <c r="Z13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35" s="5">
        <f>IF(Merge1[[#This Row],[loan_applications.defaulted]]=1,Merge1[[#This Row],[loan_applications.loan_amount]],0)</f>
        <v>10200</v>
      </c>
    </row>
    <row r="136" spans="1:27" x14ac:dyDescent="0.35">
      <c r="A136" t="s">
        <v>313</v>
      </c>
      <c r="B136" t="s">
        <v>312</v>
      </c>
      <c r="C136" s="1">
        <v>45432</v>
      </c>
      <c r="D136">
        <v>38</v>
      </c>
      <c r="E136" t="s">
        <v>25</v>
      </c>
      <c r="F136" t="s">
        <v>32</v>
      </c>
      <c r="G136" t="s">
        <v>26</v>
      </c>
      <c r="H136">
        <v>18</v>
      </c>
      <c r="I136" s="5">
        <v>83526</v>
      </c>
      <c r="J136" t="str" cm="1">
        <f t="array" ref="J13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36">
        <v>674</v>
      </c>
      <c r="L136" t="s">
        <v>34</v>
      </c>
      <c r="M136">
        <v>3</v>
      </c>
      <c r="N136">
        <v>725</v>
      </c>
      <c r="O136" t="str" cm="1">
        <f t="array" ref="O13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36" t="s">
        <v>54</v>
      </c>
      <c r="Q136" s="5">
        <v>22500</v>
      </c>
      <c r="R136">
        <v>48</v>
      </c>
      <c r="S136">
        <v>10.39</v>
      </c>
      <c r="T136">
        <v>574.88</v>
      </c>
      <c r="U136">
        <v>18.7</v>
      </c>
      <c r="V136" t="str" cm="1">
        <f t="array" ref="V13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36" t="s">
        <v>91</v>
      </c>
      <c r="X136">
        <v>30</v>
      </c>
      <c r="Y136">
        <v>0</v>
      </c>
      <c r="Z136" s="5">
        <f>IF(Merge1[[#This Row],[loan_applications.defaulted]]=0,Merge1[[#This Row],[loan_applications.loan_amount]]*(Merge1[[#This Row],[loan_applications.interest_rate]]/100)*(Merge1[[#This Row],[loan_applications.term_months]]/12),0)</f>
        <v>9351</v>
      </c>
      <c r="AA136" s="5">
        <f>IF(Merge1[[#This Row],[loan_applications.defaulted]]=1,Merge1[[#This Row],[loan_applications.loan_amount]],0)</f>
        <v>0</v>
      </c>
    </row>
    <row r="137" spans="1:27" x14ac:dyDescent="0.35">
      <c r="A137" t="s">
        <v>314</v>
      </c>
      <c r="B137" t="s">
        <v>315</v>
      </c>
      <c r="C137" s="1">
        <v>45464</v>
      </c>
      <c r="D137">
        <v>36</v>
      </c>
      <c r="E137" t="s">
        <v>25</v>
      </c>
      <c r="F137" t="s">
        <v>32</v>
      </c>
      <c r="G137" t="s">
        <v>63</v>
      </c>
      <c r="H137">
        <v>7</v>
      </c>
      <c r="I137" s="5">
        <v>55425</v>
      </c>
      <c r="J137" t="str" cm="1">
        <f t="array" ref="J13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37">
        <v>697</v>
      </c>
      <c r="L137" t="s">
        <v>34</v>
      </c>
      <c r="M137">
        <v>3</v>
      </c>
      <c r="N137">
        <v>2331</v>
      </c>
      <c r="O137" t="str" cm="1">
        <f t="array" ref="O13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37" t="s">
        <v>50</v>
      </c>
      <c r="Q137" s="5">
        <v>6500</v>
      </c>
      <c r="R137">
        <v>24</v>
      </c>
      <c r="S137">
        <v>12.17</v>
      </c>
      <c r="T137">
        <v>306.49</v>
      </c>
      <c r="U137">
        <v>57.1</v>
      </c>
      <c r="V137" t="str" cm="1">
        <f t="array" ref="V13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37" t="s">
        <v>41</v>
      </c>
      <c r="X137">
        <v>0</v>
      </c>
      <c r="Y137">
        <v>0</v>
      </c>
      <c r="Z137" s="5">
        <f>IF(Merge1[[#This Row],[loan_applications.defaulted]]=0,Merge1[[#This Row],[loan_applications.loan_amount]]*(Merge1[[#This Row],[loan_applications.interest_rate]]/100)*(Merge1[[#This Row],[loan_applications.term_months]]/12),0)</f>
        <v>1582.1000000000001</v>
      </c>
      <c r="AA137" s="5">
        <f>IF(Merge1[[#This Row],[loan_applications.defaulted]]=1,Merge1[[#This Row],[loan_applications.loan_amount]],0)</f>
        <v>0</v>
      </c>
    </row>
    <row r="138" spans="1:27" x14ac:dyDescent="0.35">
      <c r="A138" t="s">
        <v>316</v>
      </c>
      <c r="B138" t="s">
        <v>317</v>
      </c>
      <c r="C138" s="1">
        <v>45453</v>
      </c>
      <c r="D138">
        <v>41</v>
      </c>
      <c r="E138" t="s">
        <v>74</v>
      </c>
      <c r="F138" t="s">
        <v>32</v>
      </c>
      <c r="G138" t="s">
        <v>26</v>
      </c>
      <c r="H138">
        <v>9</v>
      </c>
      <c r="I138" s="5">
        <v>43493</v>
      </c>
      <c r="J138" t="str" cm="1">
        <f t="array" ref="J13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38">
        <v>549</v>
      </c>
      <c r="L138" t="s">
        <v>17</v>
      </c>
      <c r="M138">
        <v>0</v>
      </c>
      <c r="N138">
        <v>1789</v>
      </c>
      <c r="O138" t="str" cm="1">
        <f t="array" ref="O13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38" t="s">
        <v>60</v>
      </c>
      <c r="Q138" s="5">
        <v>16200</v>
      </c>
      <c r="R138">
        <v>60</v>
      </c>
      <c r="S138">
        <v>12.73</v>
      </c>
      <c r="T138">
        <v>366.36</v>
      </c>
      <c r="U138">
        <v>59.5</v>
      </c>
      <c r="V138" t="str" cm="1">
        <f t="array" ref="V13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38" t="s">
        <v>24</v>
      </c>
      <c r="X138">
        <v>154</v>
      </c>
      <c r="Y138">
        <v>1</v>
      </c>
      <c r="Z13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38" s="5">
        <f>IF(Merge1[[#This Row],[loan_applications.defaulted]]=1,Merge1[[#This Row],[loan_applications.loan_amount]],0)</f>
        <v>16200</v>
      </c>
    </row>
    <row r="139" spans="1:27" x14ac:dyDescent="0.35">
      <c r="A139" t="s">
        <v>318</v>
      </c>
      <c r="B139" t="s">
        <v>317</v>
      </c>
      <c r="C139" s="1">
        <v>45582</v>
      </c>
      <c r="D139">
        <v>41</v>
      </c>
      <c r="E139" t="s">
        <v>74</v>
      </c>
      <c r="F139" t="s">
        <v>32</v>
      </c>
      <c r="G139" t="s">
        <v>26</v>
      </c>
      <c r="H139">
        <v>9</v>
      </c>
      <c r="I139" s="5">
        <v>43493</v>
      </c>
      <c r="J139" t="str" cm="1">
        <f t="array" ref="J13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39">
        <v>549</v>
      </c>
      <c r="L139" t="s">
        <v>17</v>
      </c>
      <c r="M139">
        <v>0</v>
      </c>
      <c r="N139">
        <v>1789</v>
      </c>
      <c r="O139" t="str" cm="1">
        <f t="array" ref="O13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39" t="s">
        <v>54</v>
      </c>
      <c r="Q139" s="5">
        <v>4000</v>
      </c>
      <c r="R139">
        <v>12</v>
      </c>
      <c r="S139">
        <v>14.38</v>
      </c>
      <c r="T139">
        <v>359.86</v>
      </c>
      <c r="U139">
        <v>59.3</v>
      </c>
      <c r="V139" t="str" cm="1">
        <f t="array" ref="V13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39" t="s">
        <v>24</v>
      </c>
      <c r="X139">
        <v>151</v>
      </c>
      <c r="Y139">
        <v>1</v>
      </c>
      <c r="Z13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39" s="5">
        <f>IF(Merge1[[#This Row],[loan_applications.defaulted]]=1,Merge1[[#This Row],[loan_applications.loan_amount]],0)</f>
        <v>4000</v>
      </c>
    </row>
    <row r="140" spans="1:27" x14ac:dyDescent="0.35">
      <c r="A140" t="s">
        <v>319</v>
      </c>
      <c r="B140" t="s">
        <v>320</v>
      </c>
      <c r="C140" s="1">
        <v>45470</v>
      </c>
      <c r="D140">
        <v>30</v>
      </c>
      <c r="E140" t="s">
        <v>79</v>
      </c>
      <c r="F140" t="s">
        <v>32</v>
      </c>
      <c r="G140" t="s">
        <v>26</v>
      </c>
      <c r="H140">
        <v>6</v>
      </c>
      <c r="I140" s="5">
        <v>101170</v>
      </c>
      <c r="J140" t="str" cm="1">
        <f t="array" ref="J14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40">
        <v>821</v>
      </c>
      <c r="L140" t="s">
        <v>34</v>
      </c>
      <c r="M140">
        <v>0</v>
      </c>
      <c r="N140">
        <v>2170</v>
      </c>
      <c r="O140" t="str" cm="1">
        <f t="array" ref="O14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40" t="s">
        <v>56</v>
      </c>
      <c r="Q140" s="5">
        <v>14400</v>
      </c>
      <c r="R140">
        <v>48</v>
      </c>
      <c r="S140">
        <v>8.3800000000000008</v>
      </c>
      <c r="T140">
        <v>354.12</v>
      </c>
      <c r="U140">
        <v>29.9</v>
      </c>
      <c r="V140" t="str" cm="1">
        <f t="array" ref="V14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40" t="s">
        <v>41</v>
      </c>
      <c r="X140">
        <v>0</v>
      </c>
      <c r="Y140">
        <v>0</v>
      </c>
      <c r="Z140" s="5">
        <f>IF(Merge1[[#This Row],[loan_applications.defaulted]]=0,Merge1[[#This Row],[loan_applications.loan_amount]]*(Merge1[[#This Row],[loan_applications.interest_rate]]/100)*(Merge1[[#This Row],[loan_applications.term_months]]/12),0)</f>
        <v>4826.880000000001</v>
      </c>
      <c r="AA140" s="5">
        <f>IF(Merge1[[#This Row],[loan_applications.defaulted]]=1,Merge1[[#This Row],[loan_applications.loan_amount]],0)</f>
        <v>0</v>
      </c>
    </row>
    <row r="141" spans="1:27" x14ac:dyDescent="0.35">
      <c r="A141" t="s">
        <v>321</v>
      </c>
      <c r="B141" t="s">
        <v>322</v>
      </c>
      <c r="C141" s="1">
        <v>45533</v>
      </c>
      <c r="D141">
        <v>28</v>
      </c>
      <c r="E141" t="s">
        <v>105</v>
      </c>
      <c r="F141" t="s">
        <v>62</v>
      </c>
      <c r="G141" t="s">
        <v>63</v>
      </c>
      <c r="H141">
        <v>0</v>
      </c>
      <c r="I141" s="5">
        <v>74343</v>
      </c>
      <c r="J141" t="str" cm="1">
        <f t="array" ref="J14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41">
        <v>678</v>
      </c>
      <c r="L141" t="s">
        <v>17</v>
      </c>
      <c r="M141">
        <v>1</v>
      </c>
      <c r="N141">
        <v>3254</v>
      </c>
      <c r="O141" t="str" cm="1">
        <f t="array" ref="O14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41" t="s">
        <v>54</v>
      </c>
      <c r="Q141" s="5">
        <v>39600</v>
      </c>
      <c r="R141">
        <v>36</v>
      </c>
      <c r="S141">
        <v>10.79</v>
      </c>
      <c r="T141">
        <v>1292.52</v>
      </c>
      <c r="U141">
        <v>73.400000000000006</v>
      </c>
      <c r="V141" t="str" cm="1">
        <f t="array" ref="V14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41" t="s">
        <v>24</v>
      </c>
      <c r="X141">
        <v>165</v>
      </c>
      <c r="Y141">
        <v>1</v>
      </c>
      <c r="Z14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41" s="5">
        <f>IF(Merge1[[#This Row],[loan_applications.defaulted]]=1,Merge1[[#This Row],[loan_applications.loan_amount]],0)</f>
        <v>39600</v>
      </c>
    </row>
    <row r="142" spans="1:27" x14ac:dyDescent="0.35">
      <c r="A142" t="s">
        <v>323</v>
      </c>
      <c r="B142" t="s">
        <v>324</v>
      </c>
      <c r="C142" s="1">
        <v>45767</v>
      </c>
      <c r="D142">
        <v>45</v>
      </c>
      <c r="E142" t="s">
        <v>31</v>
      </c>
      <c r="F142" t="s">
        <v>15</v>
      </c>
      <c r="G142" t="s">
        <v>16</v>
      </c>
      <c r="H142">
        <v>11</v>
      </c>
      <c r="I142" s="5">
        <v>41565</v>
      </c>
      <c r="J142" t="str" cm="1">
        <f t="array" ref="J14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42">
        <v>850</v>
      </c>
      <c r="L142" t="s">
        <v>27</v>
      </c>
      <c r="M142">
        <v>0</v>
      </c>
      <c r="N142">
        <v>384</v>
      </c>
      <c r="O142" t="str" cm="1">
        <f t="array" ref="O14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42" t="s">
        <v>71</v>
      </c>
      <c r="Q142" s="5">
        <v>23700</v>
      </c>
      <c r="R142">
        <v>60</v>
      </c>
      <c r="S142">
        <v>8.3699999999999992</v>
      </c>
      <c r="T142">
        <v>484.76</v>
      </c>
      <c r="U142">
        <v>25.1</v>
      </c>
      <c r="V142" t="str" cm="1">
        <f t="array" ref="V14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42" t="s">
        <v>41</v>
      </c>
      <c r="X142">
        <v>0</v>
      </c>
      <c r="Y142">
        <v>0</v>
      </c>
      <c r="Z142" s="5">
        <f>IF(Merge1[[#This Row],[loan_applications.defaulted]]=0,Merge1[[#This Row],[loan_applications.loan_amount]]*(Merge1[[#This Row],[loan_applications.interest_rate]]/100)*(Merge1[[#This Row],[loan_applications.term_months]]/12),0)</f>
        <v>9918.4499999999989</v>
      </c>
      <c r="AA142" s="5">
        <f>IF(Merge1[[#This Row],[loan_applications.defaulted]]=1,Merge1[[#This Row],[loan_applications.loan_amount]],0)</f>
        <v>0</v>
      </c>
    </row>
    <row r="143" spans="1:27" x14ac:dyDescent="0.35">
      <c r="A143" t="s">
        <v>325</v>
      </c>
      <c r="B143" t="s">
        <v>324</v>
      </c>
      <c r="C143" s="1">
        <v>45455</v>
      </c>
      <c r="D143">
        <v>45</v>
      </c>
      <c r="E143" t="s">
        <v>31</v>
      </c>
      <c r="F143" t="s">
        <v>15</v>
      </c>
      <c r="G143" t="s">
        <v>16</v>
      </c>
      <c r="H143">
        <v>11</v>
      </c>
      <c r="I143" s="5">
        <v>41565</v>
      </c>
      <c r="J143" t="str" cm="1">
        <f t="array" ref="J14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43">
        <v>850</v>
      </c>
      <c r="L143" t="s">
        <v>27</v>
      </c>
      <c r="M143">
        <v>0</v>
      </c>
      <c r="N143">
        <v>384</v>
      </c>
      <c r="O143" t="str" cm="1">
        <f t="array" ref="O14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43" t="s">
        <v>56</v>
      </c>
      <c r="Q143" s="5">
        <v>4400</v>
      </c>
      <c r="R143">
        <v>48</v>
      </c>
      <c r="S143">
        <v>8.32</v>
      </c>
      <c r="T143">
        <v>108.08</v>
      </c>
      <c r="U143">
        <v>14.2</v>
      </c>
      <c r="V143" t="str" cm="1">
        <f t="array" ref="V14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43" t="s">
        <v>91</v>
      </c>
      <c r="X143">
        <v>0</v>
      </c>
      <c r="Y143">
        <v>0</v>
      </c>
      <c r="Z143" s="5">
        <f>IF(Merge1[[#This Row],[loan_applications.defaulted]]=0,Merge1[[#This Row],[loan_applications.loan_amount]]*(Merge1[[#This Row],[loan_applications.interest_rate]]/100)*(Merge1[[#This Row],[loan_applications.term_months]]/12),0)</f>
        <v>1464.32</v>
      </c>
      <c r="AA143" s="5">
        <f>IF(Merge1[[#This Row],[loan_applications.defaulted]]=1,Merge1[[#This Row],[loan_applications.loan_amount]],0)</f>
        <v>0</v>
      </c>
    </row>
    <row r="144" spans="1:27" x14ac:dyDescent="0.35">
      <c r="A144" t="s">
        <v>326</v>
      </c>
      <c r="B144" t="s">
        <v>327</v>
      </c>
      <c r="C144" s="1">
        <v>45345</v>
      </c>
      <c r="D144">
        <v>51</v>
      </c>
      <c r="E144" t="s">
        <v>51</v>
      </c>
      <c r="F144" t="s">
        <v>15</v>
      </c>
      <c r="G144" t="s">
        <v>26</v>
      </c>
      <c r="H144">
        <v>3</v>
      </c>
      <c r="I144" s="5">
        <v>44910</v>
      </c>
      <c r="J144" t="str" cm="1">
        <f t="array" ref="J14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44">
        <v>540</v>
      </c>
      <c r="L144" t="s">
        <v>17</v>
      </c>
      <c r="M144">
        <v>4</v>
      </c>
      <c r="N144">
        <v>1659</v>
      </c>
      <c r="O144" t="str" cm="1">
        <f t="array" ref="O14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44" t="s">
        <v>23</v>
      </c>
      <c r="Q144" s="5">
        <v>17400</v>
      </c>
      <c r="R144">
        <v>48</v>
      </c>
      <c r="S144">
        <v>11.22</v>
      </c>
      <c r="T144">
        <v>451.57</v>
      </c>
      <c r="U144">
        <v>56.4</v>
      </c>
      <c r="V144" t="str" cm="1">
        <f t="array" ref="V14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44" t="s">
        <v>21</v>
      </c>
      <c r="X144">
        <v>0</v>
      </c>
      <c r="Y144">
        <v>0</v>
      </c>
      <c r="Z144" s="5">
        <f>IF(Merge1[[#This Row],[loan_applications.defaulted]]=0,Merge1[[#This Row],[loan_applications.loan_amount]]*(Merge1[[#This Row],[loan_applications.interest_rate]]/100)*(Merge1[[#This Row],[loan_applications.term_months]]/12),0)</f>
        <v>7809.1200000000008</v>
      </c>
      <c r="AA144" s="5">
        <f>IF(Merge1[[#This Row],[loan_applications.defaulted]]=1,Merge1[[#This Row],[loan_applications.loan_amount]],0)</f>
        <v>0</v>
      </c>
    </row>
    <row r="145" spans="1:27" x14ac:dyDescent="0.35">
      <c r="A145" t="s">
        <v>328</v>
      </c>
      <c r="B145" t="s">
        <v>329</v>
      </c>
      <c r="C145" s="1">
        <v>45625</v>
      </c>
      <c r="D145">
        <v>35</v>
      </c>
      <c r="E145" t="s">
        <v>193</v>
      </c>
      <c r="F145" t="s">
        <v>15</v>
      </c>
      <c r="G145" t="s">
        <v>16</v>
      </c>
      <c r="H145">
        <v>7</v>
      </c>
      <c r="I145" s="5">
        <v>29691</v>
      </c>
      <c r="J145" t="str" cm="1">
        <f t="array" ref="J14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45">
        <v>635</v>
      </c>
      <c r="L145" t="s">
        <v>34</v>
      </c>
      <c r="M145">
        <v>2</v>
      </c>
      <c r="N145">
        <v>861</v>
      </c>
      <c r="O145" t="str" cm="1">
        <f t="array" ref="O14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45" t="s">
        <v>54</v>
      </c>
      <c r="Q145" s="5">
        <v>4200</v>
      </c>
      <c r="R145">
        <v>48</v>
      </c>
      <c r="S145">
        <v>12.38</v>
      </c>
      <c r="T145">
        <v>111.39</v>
      </c>
      <c r="U145">
        <v>39.299999999999997</v>
      </c>
      <c r="V145" t="str" cm="1">
        <f t="array" ref="V14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45" t="s">
        <v>21</v>
      </c>
      <c r="X145">
        <v>0</v>
      </c>
      <c r="Y145">
        <v>0</v>
      </c>
      <c r="Z145" s="5">
        <f>IF(Merge1[[#This Row],[loan_applications.defaulted]]=0,Merge1[[#This Row],[loan_applications.loan_amount]]*(Merge1[[#This Row],[loan_applications.interest_rate]]/100)*(Merge1[[#This Row],[loan_applications.term_months]]/12),0)</f>
        <v>2079.84</v>
      </c>
      <c r="AA145" s="5">
        <f>IF(Merge1[[#This Row],[loan_applications.defaulted]]=1,Merge1[[#This Row],[loan_applications.loan_amount]],0)</f>
        <v>0</v>
      </c>
    </row>
    <row r="146" spans="1:27" x14ac:dyDescent="0.35">
      <c r="A146" t="s">
        <v>331</v>
      </c>
      <c r="B146" t="s">
        <v>332</v>
      </c>
      <c r="C146" s="1">
        <v>45676</v>
      </c>
      <c r="D146">
        <v>39</v>
      </c>
      <c r="E146" t="s">
        <v>330</v>
      </c>
      <c r="F146" t="s">
        <v>62</v>
      </c>
      <c r="G146" t="s">
        <v>26</v>
      </c>
      <c r="H146">
        <v>5</v>
      </c>
      <c r="I146" s="5">
        <v>65753</v>
      </c>
      <c r="J146" t="str" cm="1">
        <f t="array" ref="J14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46">
        <v>663</v>
      </c>
      <c r="L146" t="s">
        <v>27</v>
      </c>
      <c r="M146">
        <v>0</v>
      </c>
      <c r="N146">
        <v>314</v>
      </c>
      <c r="O146" t="str" cm="1">
        <f t="array" ref="O14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46" t="s">
        <v>54</v>
      </c>
      <c r="Q146" s="5">
        <v>6300</v>
      </c>
      <c r="R146">
        <v>48</v>
      </c>
      <c r="S146">
        <v>13.3</v>
      </c>
      <c r="T146">
        <v>169.95</v>
      </c>
      <c r="U146">
        <v>8.8000000000000007</v>
      </c>
      <c r="V146" t="str" cm="1">
        <f t="array" ref="V14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46" t="s">
        <v>41</v>
      </c>
      <c r="X146">
        <v>0</v>
      </c>
      <c r="Y146">
        <v>0</v>
      </c>
      <c r="Z146" s="5">
        <f>IF(Merge1[[#This Row],[loan_applications.defaulted]]=0,Merge1[[#This Row],[loan_applications.loan_amount]]*(Merge1[[#This Row],[loan_applications.interest_rate]]/100)*(Merge1[[#This Row],[loan_applications.term_months]]/12),0)</f>
        <v>3351.6000000000004</v>
      </c>
      <c r="AA146" s="5">
        <f>IF(Merge1[[#This Row],[loan_applications.defaulted]]=1,Merge1[[#This Row],[loan_applications.loan_amount]],0)</f>
        <v>0</v>
      </c>
    </row>
    <row r="147" spans="1:27" x14ac:dyDescent="0.35">
      <c r="A147" t="s">
        <v>333</v>
      </c>
      <c r="B147" t="s">
        <v>334</v>
      </c>
      <c r="C147" s="1">
        <v>45674</v>
      </c>
      <c r="D147">
        <v>37</v>
      </c>
      <c r="E147" t="s">
        <v>79</v>
      </c>
      <c r="F147" t="s">
        <v>32</v>
      </c>
      <c r="G147" t="s">
        <v>26</v>
      </c>
      <c r="H147">
        <v>13</v>
      </c>
      <c r="I147" s="5">
        <v>57530</v>
      </c>
      <c r="J147" t="str" cm="1">
        <f t="array" ref="J14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47">
        <v>594</v>
      </c>
      <c r="L147" t="s">
        <v>34</v>
      </c>
      <c r="M147">
        <v>0</v>
      </c>
      <c r="N147">
        <v>1314</v>
      </c>
      <c r="O147" t="str" cm="1">
        <f t="array" ref="O14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47" t="s">
        <v>23</v>
      </c>
      <c r="Q147" s="5">
        <v>25400</v>
      </c>
      <c r="R147">
        <v>48</v>
      </c>
      <c r="S147">
        <v>10.99</v>
      </c>
      <c r="T147">
        <v>656.35</v>
      </c>
      <c r="U147">
        <v>41.1</v>
      </c>
      <c r="V147" t="str" cm="1">
        <f t="array" ref="V14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47" t="s">
        <v>24</v>
      </c>
      <c r="X147">
        <v>79</v>
      </c>
      <c r="Y147">
        <v>1</v>
      </c>
      <c r="Z14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47" s="5">
        <f>IF(Merge1[[#This Row],[loan_applications.defaulted]]=1,Merge1[[#This Row],[loan_applications.loan_amount]],0)</f>
        <v>25400</v>
      </c>
    </row>
    <row r="148" spans="1:27" x14ac:dyDescent="0.35">
      <c r="A148" t="s">
        <v>335</v>
      </c>
      <c r="B148" t="s">
        <v>336</v>
      </c>
      <c r="C148" s="1">
        <v>45431</v>
      </c>
      <c r="D148">
        <v>45</v>
      </c>
      <c r="E148" t="s">
        <v>61</v>
      </c>
      <c r="F148" t="s">
        <v>32</v>
      </c>
      <c r="G148" t="s">
        <v>26</v>
      </c>
      <c r="H148">
        <v>1</v>
      </c>
      <c r="I148" s="5">
        <v>72744</v>
      </c>
      <c r="J148" t="str" cm="1">
        <f t="array" ref="J14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48">
        <v>849</v>
      </c>
      <c r="L148" t="s">
        <v>17</v>
      </c>
      <c r="M148">
        <v>3</v>
      </c>
      <c r="N148">
        <v>1883</v>
      </c>
      <c r="O148" t="str" cm="1">
        <f t="array" ref="O14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48" t="s">
        <v>37</v>
      </c>
      <c r="Q148" s="5">
        <v>6800</v>
      </c>
      <c r="R148">
        <v>60</v>
      </c>
      <c r="S148">
        <v>6.15</v>
      </c>
      <c r="T148">
        <v>131.94</v>
      </c>
      <c r="U148">
        <v>33.200000000000003</v>
      </c>
      <c r="V148" t="str" cm="1">
        <f t="array" ref="V14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48" t="s">
        <v>24</v>
      </c>
      <c r="X148">
        <v>149</v>
      </c>
      <c r="Y148">
        <v>1</v>
      </c>
      <c r="Z14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48" s="5">
        <f>IF(Merge1[[#This Row],[loan_applications.defaulted]]=1,Merge1[[#This Row],[loan_applications.loan_amount]],0)</f>
        <v>6800</v>
      </c>
    </row>
    <row r="149" spans="1:27" x14ac:dyDescent="0.35">
      <c r="A149" t="s">
        <v>337</v>
      </c>
      <c r="B149" t="s">
        <v>338</v>
      </c>
      <c r="C149" s="1">
        <v>45466</v>
      </c>
      <c r="D149">
        <v>51</v>
      </c>
      <c r="E149" t="s">
        <v>113</v>
      </c>
      <c r="F149" t="s">
        <v>32</v>
      </c>
      <c r="G149" t="s">
        <v>26</v>
      </c>
      <c r="H149">
        <v>27</v>
      </c>
      <c r="I149" s="5">
        <v>104309</v>
      </c>
      <c r="J149" t="str" cm="1">
        <f t="array" ref="J14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49">
        <v>750</v>
      </c>
      <c r="L149" t="s">
        <v>17</v>
      </c>
      <c r="M149">
        <v>2</v>
      </c>
      <c r="N149">
        <v>2362</v>
      </c>
      <c r="O149" t="str" cm="1">
        <f t="array" ref="O14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49" t="s">
        <v>50</v>
      </c>
      <c r="Q149" s="5">
        <v>12600</v>
      </c>
      <c r="R149">
        <v>36</v>
      </c>
      <c r="S149">
        <v>10.52</v>
      </c>
      <c r="T149">
        <v>409.65</v>
      </c>
      <c r="U149">
        <v>31.9</v>
      </c>
      <c r="V149" t="str" cm="1">
        <f t="array" ref="V14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49" t="s">
        <v>41</v>
      </c>
      <c r="X149">
        <v>0</v>
      </c>
      <c r="Y149">
        <v>0</v>
      </c>
      <c r="Z149" s="5">
        <f>IF(Merge1[[#This Row],[loan_applications.defaulted]]=0,Merge1[[#This Row],[loan_applications.loan_amount]]*(Merge1[[#This Row],[loan_applications.interest_rate]]/100)*(Merge1[[#This Row],[loan_applications.term_months]]/12),0)</f>
        <v>3976.56</v>
      </c>
      <c r="AA149" s="5">
        <f>IF(Merge1[[#This Row],[loan_applications.defaulted]]=1,Merge1[[#This Row],[loan_applications.loan_amount]],0)</f>
        <v>0</v>
      </c>
    </row>
    <row r="150" spans="1:27" x14ac:dyDescent="0.35">
      <c r="A150" t="s">
        <v>339</v>
      </c>
      <c r="B150" t="s">
        <v>340</v>
      </c>
      <c r="C150" s="1">
        <v>45765</v>
      </c>
      <c r="D150">
        <v>27</v>
      </c>
      <c r="E150" t="s">
        <v>252</v>
      </c>
      <c r="F150" t="s">
        <v>68</v>
      </c>
      <c r="G150" t="s">
        <v>26</v>
      </c>
      <c r="H150">
        <v>5</v>
      </c>
      <c r="I150" s="5">
        <v>35230</v>
      </c>
      <c r="J150" t="str" cm="1">
        <f t="array" ref="J15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50">
        <v>844</v>
      </c>
      <c r="L150" t="s">
        <v>34</v>
      </c>
      <c r="M150">
        <v>1</v>
      </c>
      <c r="N150">
        <v>812</v>
      </c>
      <c r="O150" t="str" cm="1">
        <f t="array" ref="O15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50" t="s">
        <v>30</v>
      </c>
      <c r="Q150" s="5">
        <v>31100</v>
      </c>
      <c r="R150">
        <v>60</v>
      </c>
      <c r="S150">
        <v>8.3000000000000007</v>
      </c>
      <c r="T150">
        <v>635.07000000000005</v>
      </c>
      <c r="U150">
        <v>49.3</v>
      </c>
      <c r="V150" t="str" cm="1">
        <f t="array" ref="V15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50" t="s">
        <v>21</v>
      </c>
      <c r="X150">
        <v>0</v>
      </c>
      <c r="Y150">
        <v>0</v>
      </c>
      <c r="Z150" s="5">
        <f>IF(Merge1[[#This Row],[loan_applications.defaulted]]=0,Merge1[[#This Row],[loan_applications.loan_amount]]*(Merge1[[#This Row],[loan_applications.interest_rate]]/100)*(Merge1[[#This Row],[loan_applications.term_months]]/12),0)</f>
        <v>12906.5</v>
      </c>
      <c r="AA150" s="5">
        <f>IF(Merge1[[#This Row],[loan_applications.defaulted]]=1,Merge1[[#This Row],[loan_applications.loan_amount]],0)</f>
        <v>0</v>
      </c>
    </row>
    <row r="151" spans="1:27" x14ac:dyDescent="0.35">
      <c r="A151" t="s">
        <v>341</v>
      </c>
      <c r="B151" t="s">
        <v>342</v>
      </c>
      <c r="C151" s="1">
        <v>45297</v>
      </c>
      <c r="D151">
        <v>60</v>
      </c>
      <c r="E151" t="s">
        <v>14</v>
      </c>
      <c r="F151" t="s">
        <v>32</v>
      </c>
      <c r="G151" t="s">
        <v>16</v>
      </c>
      <c r="H151">
        <v>13</v>
      </c>
      <c r="I151" s="5">
        <v>47899</v>
      </c>
      <c r="J151" t="str" cm="1">
        <f t="array" ref="J15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51">
        <v>812</v>
      </c>
      <c r="L151" t="s">
        <v>34</v>
      </c>
      <c r="M151">
        <v>0</v>
      </c>
      <c r="N151">
        <v>876</v>
      </c>
      <c r="O151" t="str" cm="1">
        <f t="array" ref="O15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51" t="s">
        <v>45</v>
      </c>
      <c r="Q151" s="5">
        <v>10300</v>
      </c>
      <c r="R151">
        <v>60</v>
      </c>
      <c r="S151">
        <v>11.2</v>
      </c>
      <c r="T151">
        <v>224.98</v>
      </c>
      <c r="U151">
        <v>27.6</v>
      </c>
      <c r="V151" t="str" cm="1">
        <f t="array" ref="V15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51" t="s">
        <v>21</v>
      </c>
      <c r="X151">
        <v>0</v>
      </c>
      <c r="Y151">
        <v>0</v>
      </c>
      <c r="Z151" s="5">
        <f>IF(Merge1[[#This Row],[loan_applications.defaulted]]=0,Merge1[[#This Row],[loan_applications.loan_amount]]*(Merge1[[#This Row],[loan_applications.interest_rate]]/100)*(Merge1[[#This Row],[loan_applications.term_months]]/12),0)</f>
        <v>5768</v>
      </c>
      <c r="AA151" s="5">
        <f>IF(Merge1[[#This Row],[loan_applications.defaulted]]=1,Merge1[[#This Row],[loan_applications.loan_amount]],0)</f>
        <v>0</v>
      </c>
    </row>
    <row r="152" spans="1:27" x14ac:dyDescent="0.35">
      <c r="A152" t="s">
        <v>343</v>
      </c>
      <c r="B152" t="s">
        <v>344</v>
      </c>
      <c r="C152" s="1">
        <v>45392</v>
      </c>
      <c r="D152">
        <v>51</v>
      </c>
      <c r="E152" t="s">
        <v>193</v>
      </c>
      <c r="F152" t="s">
        <v>32</v>
      </c>
      <c r="G152" t="s">
        <v>16</v>
      </c>
      <c r="H152">
        <v>16</v>
      </c>
      <c r="I152" s="5">
        <v>60540</v>
      </c>
      <c r="J152" t="str" cm="1">
        <f t="array" ref="J15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52">
        <v>695</v>
      </c>
      <c r="L152" t="s">
        <v>34</v>
      </c>
      <c r="M152">
        <v>2</v>
      </c>
      <c r="N152">
        <v>1448</v>
      </c>
      <c r="O152" t="str" cm="1">
        <f t="array" ref="O15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52" t="s">
        <v>30</v>
      </c>
      <c r="Q152" s="5">
        <v>11900</v>
      </c>
      <c r="R152">
        <v>48</v>
      </c>
      <c r="S152">
        <v>12.47</v>
      </c>
      <c r="T152">
        <v>316.13</v>
      </c>
      <c r="U152">
        <v>35</v>
      </c>
      <c r="V152" t="str" cm="1">
        <f t="array" ref="V15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52" t="s">
        <v>41</v>
      </c>
      <c r="X152">
        <v>0</v>
      </c>
      <c r="Y152">
        <v>0</v>
      </c>
      <c r="Z152" s="5">
        <f>IF(Merge1[[#This Row],[loan_applications.defaulted]]=0,Merge1[[#This Row],[loan_applications.loan_amount]]*(Merge1[[#This Row],[loan_applications.interest_rate]]/100)*(Merge1[[#This Row],[loan_applications.term_months]]/12),0)</f>
        <v>5935.72</v>
      </c>
      <c r="AA152" s="5">
        <f>IF(Merge1[[#This Row],[loan_applications.defaulted]]=1,Merge1[[#This Row],[loan_applications.loan_amount]],0)</f>
        <v>0</v>
      </c>
    </row>
    <row r="153" spans="1:27" x14ac:dyDescent="0.35">
      <c r="A153" t="s">
        <v>345</v>
      </c>
      <c r="B153" t="s">
        <v>346</v>
      </c>
      <c r="C153" s="1">
        <v>45384</v>
      </c>
      <c r="D153">
        <v>27</v>
      </c>
      <c r="E153" t="s">
        <v>157</v>
      </c>
      <c r="F153" t="s">
        <v>62</v>
      </c>
      <c r="G153" t="s">
        <v>26</v>
      </c>
      <c r="H153">
        <v>2</v>
      </c>
      <c r="I153" s="5">
        <v>62885</v>
      </c>
      <c r="J153" t="str" cm="1">
        <f t="array" ref="J15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53">
        <v>725</v>
      </c>
      <c r="L153" t="s">
        <v>34</v>
      </c>
      <c r="M153">
        <v>4</v>
      </c>
      <c r="N153">
        <v>1733</v>
      </c>
      <c r="O153" t="str" cm="1">
        <f t="array" ref="O15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53" t="s">
        <v>23</v>
      </c>
      <c r="Q153" s="5">
        <v>8400</v>
      </c>
      <c r="R153">
        <v>36</v>
      </c>
      <c r="S153">
        <v>9.11</v>
      </c>
      <c r="T153">
        <v>267.55</v>
      </c>
      <c r="U153">
        <v>38.200000000000003</v>
      </c>
      <c r="V153" t="str" cm="1">
        <f t="array" ref="V15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53" t="s">
        <v>24</v>
      </c>
      <c r="X153">
        <v>108</v>
      </c>
      <c r="Y153">
        <v>1</v>
      </c>
      <c r="Z15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53" s="5">
        <f>IF(Merge1[[#This Row],[loan_applications.defaulted]]=1,Merge1[[#This Row],[loan_applications.loan_amount]],0)</f>
        <v>8400</v>
      </c>
    </row>
    <row r="154" spans="1:27" x14ac:dyDescent="0.35">
      <c r="A154" t="s">
        <v>347</v>
      </c>
      <c r="B154" t="s">
        <v>348</v>
      </c>
      <c r="C154" s="1">
        <v>45766</v>
      </c>
      <c r="D154">
        <v>64</v>
      </c>
      <c r="E154" t="s">
        <v>252</v>
      </c>
      <c r="F154" t="s">
        <v>15</v>
      </c>
      <c r="G154" t="s">
        <v>26</v>
      </c>
      <c r="H154">
        <v>3</v>
      </c>
      <c r="I154" s="5">
        <v>45819</v>
      </c>
      <c r="J154" t="str" cm="1">
        <f t="array" ref="J15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54">
        <v>746</v>
      </c>
      <c r="L154" t="s">
        <v>17</v>
      </c>
      <c r="M154">
        <v>1</v>
      </c>
      <c r="N154">
        <v>388</v>
      </c>
      <c r="O154" t="str" cm="1">
        <f t="array" ref="O15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54" t="s">
        <v>20</v>
      </c>
      <c r="Q154" s="5">
        <v>37900</v>
      </c>
      <c r="R154">
        <v>12</v>
      </c>
      <c r="S154">
        <v>12.45</v>
      </c>
      <c r="T154">
        <v>3375.35</v>
      </c>
      <c r="U154">
        <v>98.6</v>
      </c>
      <c r="V154" t="str" cm="1">
        <f t="array" ref="V15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54" t="s">
        <v>91</v>
      </c>
      <c r="X154">
        <v>15</v>
      </c>
      <c r="Y154">
        <v>0</v>
      </c>
      <c r="Z154" s="5">
        <f>IF(Merge1[[#This Row],[loan_applications.defaulted]]=0,Merge1[[#This Row],[loan_applications.loan_amount]]*(Merge1[[#This Row],[loan_applications.interest_rate]]/100)*(Merge1[[#This Row],[loan_applications.term_months]]/12),0)</f>
        <v>4718.55</v>
      </c>
      <c r="AA154" s="5">
        <f>IF(Merge1[[#This Row],[loan_applications.defaulted]]=1,Merge1[[#This Row],[loan_applications.loan_amount]],0)</f>
        <v>0</v>
      </c>
    </row>
    <row r="155" spans="1:27" x14ac:dyDescent="0.35">
      <c r="A155" t="s">
        <v>349</v>
      </c>
      <c r="B155" t="s">
        <v>350</v>
      </c>
      <c r="C155" s="1">
        <v>45364</v>
      </c>
      <c r="D155">
        <v>54</v>
      </c>
      <c r="E155" t="s">
        <v>139</v>
      </c>
      <c r="F155" t="s">
        <v>68</v>
      </c>
      <c r="G155" t="s">
        <v>16</v>
      </c>
      <c r="H155">
        <v>22</v>
      </c>
      <c r="I155" s="5">
        <v>39760</v>
      </c>
      <c r="J155" t="str" cm="1">
        <f t="array" ref="J15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55">
        <v>580</v>
      </c>
      <c r="L155" t="s">
        <v>17</v>
      </c>
      <c r="M155">
        <v>0</v>
      </c>
      <c r="N155">
        <v>627</v>
      </c>
      <c r="O155" t="str" cm="1">
        <f t="array" ref="O15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55" t="s">
        <v>45</v>
      </c>
      <c r="Q155" s="5">
        <v>30000</v>
      </c>
      <c r="R155">
        <v>12</v>
      </c>
      <c r="S155">
        <v>14.64</v>
      </c>
      <c r="T155">
        <v>2702.66</v>
      </c>
      <c r="U155">
        <v>100.5</v>
      </c>
      <c r="V155" t="str" cm="1">
        <f t="array" ref="V15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55" t="s">
        <v>24</v>
      </c>
      <c r="X155">
        <v>115</v>
      </c>
      <c r="Y155">
        <v>1</v>
      </c>
      <c r="Z15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55" s="5">
        <f>IF(Merge1[[#This Row],[loan_applications.defaulted]]=1,Merge1[[#This Row],[loan_applications.loan_amount]],0)</f>
        <v>30000</v>
      </c>
    </row>
    <row r="156" spans="1:27" x14ac:dyDescent="0.35">
      <c r="A156" t="s">
        <v>351</v>
      </c>
      <c r="B156" t="s">
        <v>352</v>
      </c>
      <c r="C156" s="1">
        <v>45504</v>
      </c>
      <c r="D156">
        <v>36</v>
      </c>
      <c r="E156" t="s">
        <v>125</v>
      </c>
      <c r="F156" t="s">
        <v>62</v>
      </c>
      <c r="G156" t="s">
        <v>33</v>
      </c>
      <c r="H156">
        <v>0</v>
      </c>
      <c r="I156" s="5">
        <v>138216</v>
      </c>
      <c r="J156" t="str" cm="1">
        <f t="array" ref="J15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56">
        <v>850</v>
      </c>
      <c r="L156" t="s">
        <v>34</v>
      </c>
      <c r="M156">
        <v>3</v>
      </c>
      <c r="N156">
        <v>2116</v>
      </c>
      <c r="O156" t="str" cm="1">
        <f t="array" ref="O15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56" t="s">
        <v>37</v>
      </c>
      <c r="Q156" s="5">
        <v>14900</v>
      </c>
      <c r="R156">
        <v>60</v>
      </c>
      <c r="S156">
        <v>8.5500000000000007</v>
      </c>
      <c r="T156">
        <v>306.06</v>
      </c>
      <c r="U156">
        <v>21</v>
      </c>
      <c r="V156" t="str" cm="1">
        <f t="array" ref="V15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56" t="s">
        <v>21</v>
      </c>
      <c r="X156">
        <v>0</v>
      </c>
      <c r="Y156">
        <v>0</v>
      </c>
      <c r="Z156" s="5">
        <f>IF(Merge1[[#This Row],[loan_applications.defaulted]]=0,Merge1[[#This Row],[loan_applications.loan_amount]]*(Merge1[[#This Row],[loan_applications.interest_rate]]/100)*(Merge1[[#This Row],[loan_applications.term_months]]/12),0)</f>
        <v>6369.75</v>
      </c>
      <c r="AA156" s="5">
        <f>IF(Merge1[[#This Row],[loan_applications.defaulted]]=1,Merge1[[#This Row],[loan_applications.loan_amount]],0)</f>
        <v>0</v>
      </c>
    </row>
    <row r="157" spans="1:27" x14ac:dyDescent="0.35">
      <c r="A157" t="s">
        <v>353</v>
      </c>
      <c r="B157" t="s">
        <v>354</v>
      </c>
      <c r="C157" s="1">
        <v>45405</v>
      </c>
      <c r="D157">
        <v>33</v>
      </c>
      <c r="E157" t="s">
        <v>193</v>
      </c>
      <c r="F157" t="s">
        <v>68</v>
      </c>
      <c r="G157" t="s">
        <v>16</v>
      </c>
      <c r="H157">
        <v>0</v>
      </c>
      <c r="I157" s="5">
        <v>71975</v>
      </c>
      <c r="J157" t="str" cm="1">
        <f t="array" ref="J15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57">
        <v>714</v>
      </c>
      <c r="L157" t="s">
        <v>27</v>
      </c>
      <c r="M157">
        <v>2</v>
      </c>
      <c r="N157">
        <v>1501</v>
      </c>
      <c r="O157" t="str" cm="1">
        <f t="array" ref="O15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57" t="s">
        <v>60</v>
      </c>
      <c r="Q157" s="5">
        <v>45700</v>
      </c>
      <c r="R157">
        <v>36</v>
      </c>
      <c r="S157">
        <v>12.54</v>
      </c>
      <c r="T157">
        <v>1529.71</v>
      </c>
      <c r="U157">
        <v>50.5</v>
      </c>
      <c r="V157" t="str" cm="1">
        <f t="array" ref="V15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57" t="s">
        <v>41</v>
      </c>
      <c r="X157">
        <v>0</v>
      </c>
      <c r="Y157">
        <v>0</v>
      </c>
      <c r="Z157" s="5">
        <f>IF(Merge1[[#This Row],[loan_applications.defaulted]]=0,Merge1[[#This Row],[loan_applications.loan_amount]]*(Merge1[[#This Row],[loan_applications.interest_rate]]/100)*(Merge1[[#This Row],[loan_applications.term_months]]/12),0)</f>
        <v>17192.339999999997</v>
      </c>
      <c r="AA157" s="5">
        <f>IF(Merge1[[#This Row],[loan_applications.defaulted]]=1,Merge1[[#This Row],[loan_applications.loan_amount]],0)</f>
        <v>0</v>
      </c>
    </row>
    <row r="158" spans="1:27" x14ac:dyDescent="0.35">
      <c r="A158" t="s">
        <v>355</v>
      </c>
      <c r="B158" t="s">
        <v>356</v>
      </c>
      <c r="C158" s="1">
        <v>45634</v>
      </c>
      <c r="D158">
        <v>31</v>
      </c>
      <c r="E158" t="s">
        <v>95</v>
      </c>
      <c r="F158" t="s">
        <v>62</v>
      </c>
      <c r="G158" t="s">
        <v>75</v>
      </c>
      <c r="H158">
        <v>3</v>
      </c>
      <c r="I158" s="5">
        <v>37483</v>
      </c>
      <c r="J158" t="str" cm="1">
        <f t="array" ref="J15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58">
        <v>796</v>
      </c>
      <c r="L158" t="s">
        <v>34</v>
      </c>
      <c r="M158">
        <v>1</v>
      </c>
      <c r="N158">
        <v>734</v>
      </c>
      <c r="O158" t="str" cm="1">
        <f t="array" ref="O15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58" t="s">
        <v>30</v>
      </c>
      <c r="Q158" s="5">
        <v>25000</v>
      </c>
      <c r="R158">
        <v>24</v>
      </c>
      <c r="S158">
        <v>7.43</v>
      </c>
      <c r="T158">
        <v>1124.19</v>
      </c>
      <c r="U158">
        <v>59.5</v>
      </c>
      <c r="V158" t="str" cm="1">
        <f t="array" ref="V15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58" t="s">
        <v>41</v>
      </c>
      <c r="X158">
        <v>0</v>
      </c>
      <c r="Y158">
        <v>0</v>
      </c>
      <c r="Z158" s="5">
        <f>IF(Merge1[[#This Row],[loan_applications.defaulted]]=0,Merge1[[#This Row],[loan_applications.loan_amount]]*(Merge1[[#This Row],[loan_applications.interest_rate]]/100)*(Merge1[[#This Row],[loan_applications.term_months]]/12),0)</f>
        <v>3714.9999999999995</v>
      </c>
      <c r="AA158" s="5">
        <f>IF(Merge1[[#This Row],[loan_applications.defaulted]]=1,Merge1[[#This Row],[loan_applications.loan_amount]],0)</f>
        <v>0</v>
      </c>
    </row>
    <row r="159" spans="1:27" x14ac:dyDescent="0.35">
      <c r="A159" t="s">
        <v>357</v>
      </c>
      <c r="B159" t="s">
        <v>358</v>
      </c>
      <c r="C159" s="1">
        <v>45565</v>
      </c>
      <c r="D159">
        <v>68</v>
      </c>
      <c r="E159" t="s">
        <v>252</v>
      </c>
      <c r="F159" t="s">
        <v>68</v>
      </c>
      <c r="G159" t="s">
        <v>75</v>
      </c>
      <c r="H159">
        <v>9</v>
      </c>
      <c r="I159" s="5">
        <v>34167</v>
      </c>
      <c r="J159" t="str" cm="1">
        <f t="array" ref="J15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59">
        <v>551</v>
      </c>
      <c r="L159" t="s">
        <v>27</v>
      </c>
      <c r="M159">
        <v>0</v>
      </c>
      <c r="N159">
        <v>258</v>
      </c>
      <c r="O159" t="str" cm="1">
        <f t="array" ref="O15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59" t="s">
        <v>71</v>
      </c>
      <c r="Q159" s="5">
        <v>32900</v>
      </c>
      <c r="R159">
        <v>24</v>
      </c>
      <c r="S159">
        <v>12.42</v>
      </c>
      <c r="T159">
        <v>1555.18</v>
      </c>
      <c r="U159">
        <v>63.7</v>
      </c>
      <c r="V159" t="str" cm="1">
        <f t="array" ref="V15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59" t="s">
        <v>41</v>
      </c>
      <c r="X159">
        <v>0</v>
      </c>
      <c r="Y159">
        <v>0</v>
      </c>
      <c r="Z159" s="5">
        <f>IF(Merge1[[#This Row],[loan_applications.defaulted]]=0,Merge1[[#This Row],[loan_applications.loan_amount]]*(Merge1[[#This Row],[loan_applications.interest_rate]]/100)*(Merge1[[#This Row],[loan_applications.term_months]]/12),0)</f>
        <v>8172.3600000000006</v>
      </c>
      <c r="AA159" s="5">
        <f>IF(Merge1[[#This Row],[loan_applications.defaulted]]=1,Merge1[[#This Row],[loan_applications.loan_amount]],0)</f>
        <v>0</v>
      </c>
    </row>
    <row r="160" spans="1:27" x14ac:dyDescent="0.35">
      <c r="A160" t="s">
        <v>359</v>
      </c>
      <c r="B160" t="s">
        <v>358</v>
      </c>
      <c r="C160" s="1">
        <v>45773</v>
      </c>
      <c r="D160">
        <v>68</v>
      </c>
      <c r="E160" t="s">
        <v>252</v>
      </c>
      <c r="F160" t="s">
        <v>68</v>
      </c>
      <c r="G160" t="s">
        <v>75</v>
      </c>
      <c r="H160">
        <v>9</v>
      </c>
      <c r="I160" s="5">
        <v>34167</v>
      </c>
      <c r="J160" t="str" cm="1">
        <f t="array" ref="J16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60">
        <v>551</v>
      </c>
      <c r="L160" t="s">
        <v>27</v>
      </c>
      <c r="M160">
        <v>0</v>
      </c>
      <c r="N160">
        <v>258</v>
      </c>
      <c r="O160" t="str" cm="1">
        <f t="array" ref="O16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60" t="s">
        <v>45</v>
      </c>
      <c r="Q160" s="5">
        <v>12900</v>
      </c>
      <c r="R160">
        <v>60</v>
      </c>
      <c r="S160">
        <v>14.96</v>
      </c>
      <c r="T160">
        <v>306.62</v>
      </c>
      <c r="U160">
        <v>19.8</v>
      </c>
      <c r="V160" t="str" cm="1">
        <f t="array" ref="V16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60" t="s">
        <v>41</v>
      </c>
      <c r="X160">
        <v>0</v>
      </c>
      <c r="Y160">
        <v>0</v>
      </c>
      <c r="Z160" s="5">
        <f>IF(Merge1[[#This Row],[loan_applications.defaulted]]=0,Merge1[[#This Row],[loan_applications.loan_amount]]*(Merge1[[#This Row],[loan_applications.interest_rate]]/100)*(Merge1[[#This Row],[loan_applications.term_months]]/12),0)</f>
        <v>9649.2000000000007</v>
      </c>
      <c r="AA160" s="5">
        <f>IF(Merge1[[#This Row],[loan_applications.defaulted]]=1,Merge1[[#This Row],[loan_applications.loan_amount]],0)</f>
        <v>0</v>
      </c>
    </row>
    <row r="161" spans="1:27" x14ac:dyDescent="0.35">
      <c r="A161" t="s">
        <v>360</v>
      </c>
      <c r="B161" t="s">
        <v>361</v>
      </c>
      <c r="C161" s="1">
        <v>45760</v>
      </c>
      <c r="D161">
        <v>50</v>
      </c>
      <c r="E161" t="s">
        <v>74</v>
      </c>
      <c r="F161" t="s">
        <v>32</v>
      </c>
      <c r="G161" t="s">
        <v>26</v>
      </c>
      <c r="H161">
        <v>6</v>
      </c>
      <c r="I161" s="5">
        <v>68802</v>
      </c>
      <c r="J161" t="str" cm="1">
        <f t="array" ref="J16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61">
        <v>674</v>
      </c>
      <c r="L161" t="s">
        <v>17</v>
      </c>
      <c r="M161">
        <v>1</v>
      </c>
      <c r="N161">
        <v>604</v>
      </c>
      <c r="O161" t="str" cm="1">
        <f t="array" ref="O16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61" t="s">
        <v>71</v>
      </c>
      <c r="Q161" s="5">
        <v>34300</v>
      </c>
      <c r="R161">
        <v>12</v>
      </c>
      <c r="S161">
        <v>9.7100000000000009</v>
      </c>
      <c r="T161">
        <v>3010.89</v>
      </c>
      <c r="U161">
        <v>63</v>
      </c>
      <c r="V161" t="str" cm="1">
        <f t="array" ref="V16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61" t="s">
        <v>24</v>
      </c>
      <c r="X161">
        <v>130</v>
      </c>
      <c r="Y161">
        <v>1</v>
      </c>
      <c r="Z16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61" s="5">
        <f>IF(Merge1[[#This Row],[loan_applications.defaulted]]=1,Merge1[[#This Row],[loan_applications.loan_amount]],0)</f>
        <v>34300</v>
      </c>
    </row>
    <row r="162" spans="1:27" x14ac:dyDescent="0.35">
      <c r="A162" t="s">
        <v>362</v>
      </c>
      <c r="B162" t="s">
        <v>363</v>
      </c>
      <c r="C162" s="1">
        <v>45443</v>
      </c>
      <c r="D162">
        <v>65</v>
      </c>
      <c r="E162" t="s">
        <v>252</v>
      </c>
      <c r="F162" t="s">
        <v>32</v>
      </c>
      <c r="G162" t="s">
        <v>26</v>
      </c>
      <c r="H162">
        <v>14</v>
      </c>
      <c r="I162" s="5">
        <v>83163</v>
      </c>
      <c r="J162" t="str" cm="1">
        <f t="array" ref="J16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62">
        <v>563</v>
      </c>
      <c r="L162" t="s">
        <v>34</v>
      </c>
      <c r="M162">
        <v>0</v>
      </c>
      <c r="N162">
        <v>1054</v>
      </c>
      <c r="O162" t="str" cm="1">
        <f t="array" ref="O16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62" t="s">
        <v>37</v>
      </c>
      <c r="Q162" s="5">
        <v>5700</v>
      </c>
      <c r="R162">
        <v>24</v>
      </c>
      <c r="S162">
        <v>12</v>
      </c>
      <c r="T162">
        <v>268.32</v>
      </c>
      <c r="U162">
        <v>19.100000000000001</v>
      </c>
      <c r="V162" t="str" cm="1">
        <f t="array" ref="V16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62" t="s">
        <v>91</v>
      </c>
      <c r="X162">
        <v>15</v>
      </c>
      <c r="Y162">
        <v>0</v>
      </c>
      <c r="Z162" s="5">
        <f>IF(Merge1[[#This Row],[loan_applications.defaulted]]=0,Merge1[[#This Row],[loan_applications.loan_amount]]*(Merge1[[#This Row],[loan_applications.interest_rate]]/100)*(Merge1[[#This Row],[loan_applications.term_months]]/12),0)</f>
        <v>1368</v>
      </c>
      <c r="AA162" s="5">
        <f>IF(Merge1[[#This Row],[loan_applications.defaulted]]=1,Merge1[[#This Row],[loan_applications.loan_amount]],0)</f>
        <v>0</v>
      </c>
    </row>
    <row r="163" spans="1:27" x14ac:dyDescent="0.35">
      <c r="A163" t="s">
        <v>364</v>
      </c>
      <c r="B163" t="s">
        <v>363</v>
      </c>
      <c r="C163" s="1">
        <v>45777</v>
      </c>
      <c r="D163">
        <v>65</v>
      </c>
      <c r="E163" t="s">
        <v>252</v>
      </c>
      <c r="F163" t="s">
        <v>32</v>
      </c>
      <c r="G163" t="s">
        <v>26</v>
      </c>
      <c r="H163">
        <v>14</v>
      </c>
      <c r="I163" s="5">
        <v>83163</v>
      </c>
      <c r="J163" t="str" cm="1">
        <f t="array" ref="J16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63">
        <v>563</v>
      </c>
      <c r="L163" t="s">
        <v>34</v>
      </c>
      <c r="M163">
        <v>0</v>
      </c>
      <c r="N163">
        <v>1054</v>
      </c>
      <c r="O163" t="str" cm="1">
        <f t="array" ref="O16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63" t="s">
        <v>60</v>
      </c>
      <c r="Q163" s="5">
        <v>48500</v>
      </c>
      <c r="R163">
        <v>60</v>
      </c>
      <c r="S163">
        <v>15.28</v>
      </c>
      <c r="T163">
        <v>1160.95</v>
      </c>
      <c r="U163">
        <v>32</v>
      </c>
      <c r="V163" t="str" cm="1">
        <f t="array" ref="V16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63" t="s">
        <v>91</v>
      </c>
      <c r="X163">
        <v>0</v>
      </c>
      <c r="Y163">
        <v>0</v>
      </c>
      <c r="Z163" s="5">
        <f>IF(Merge1[[#This Row],[loan_applications.defaulted]]=0,Merge1[[#This Row],[loan_applications.loan_amount]]*(Merge1[[#This Row],[loan_applications.interest_rate]]/100)*(Merge1[[#This Row],[loan_applications.term_months]]/12),0)</f>
        <v>37054</v>
      </c>
      <c r="AA163" s="5">
        <f>IF(Merge1[[#This Row],[loan_applications.defaulted]]=1,Merge1[[#This Row],[loan_applications.loan_amount]],0)</f>
        <v>0</v>
      </c>
    </row>
    <row r="164" spans="1:27" x14ac:dyDescent="0.35">
      <c r="A164" t="s">
        <v>365</v>
      </c>
      <c r="B164" t="s">
        <v>366</v>
      </c>
      <c r="C164" s="1">
        <v>45713</v>
      </c>
      <c r="D164">
        <v>35</v>
      </c>
      <c r="E164" t="s">
        <v>92</v>
      </c>
      <c r="F164" t="s">
        <v>62</v>
      </c>
      <c r="G164" t="s">
        <v>16</v>
      </c>
      <c r="H164">
        <v>0</v>
      </c>
      <c r="I164" s="5">
        <v>79434</v>
      </c>
      <c r="J164" t="str" cm="1">
        <f t="array" ref="J164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64">
        <v>596</v>
      </c>
      <c r="L164" t="s">
        <v>34</v>
      </c>
      <c r="M164">
        <v>0</v>
      </c>
      <c r="N164">
        <v>1589</v>
      </c>
      <c r="O164" t="str" cm="1">
        <f t="array" ref="O16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64" t="s">
        <v>54</v>
      </c>
      <c r="Q164" s="5">
        <v>21200</v>
      </c>
      <c r="R164">
        <v>60</v>
      </c>
      <c r="S164">
        <v>13.29</v>
      </c>
      <c r="T164">
        <v>485.52</v>
      </c>
      <c r="U164">
        <v>31.3</v>
      </c>
      <c r="V164" t="str" cm="1">
        <f t="array" ref="V16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64" t="s">
        <v>21</v>
      </c>
      <c r="X164">
        <v>0</v>
      </c>
      <c r="Y164">
        <v>0</v>
      </c>
      <c r="Z164" s="5">
        <f>IF(Merge1[[#This Row],[loan_applications.defaulted]]=0,Merge1[[#This Row],[loan_applications.loan_amount]]*(Merge1[[#This Row],[loan_applications.interest_rate]]/100)*(Merge1[[#This Row],[loan_applications.term_months]]/12),0)</f>
        <v>14087.4</v>
      </c>
      <c r="AA164" s="5">
        <f>IF(Merge1[[#This Row],[loan_applications.defaulted]]=1,Merge1[[#This Row],[loan_applications.loan_amount]],0)</f>
        <v>0</v>
      </c>
    </row>
    <row r="165" spans="1:27" x14ac:dyDescent="0.35">
      <c r="A165" t="s">
        <v>367</v>
      </c>
      <c r="B165" t="s">
        <v>368</v>
      </c>
      <c r="C165" s="1">
        <v>45605</v>
      </c>
      <c r="D165">
        <v>67</v>
      </c>
      <c r="E165" t="s">
        <v>79</v>
      </c>
      <c r="F165" t="s">
        <v>68</v>
      </c>
      <c r="G165" t="s">
        <v>63</v>
      </c>
      <c r="H165">
        <v>4</v>
      </c>
      <c r="I165" s="5">
        <v>33144</v>
      </c>
      <c r="J165" t="str" cm="1">
        <f t="array" ref="J16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65">
        <v>706</v>
      </c>
      <c r="L165" t="s">
        <v>34</v>
      </c>
      <c r="M165">
        <v>0</v>
      </c>
      <c r="N165">
        <v>163</v>
      </c>
      <c r="O165" t="str" cm="1">
        <f t="array" ref="O16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65" t="s">
        <v>30</v>
      </c>
      <c r="Q165" s="5">
        <v>20400</v>
      </c>
      <c r="R165">
        <v>36</v>
      </c>
      <c r="S165">
        <v>11.07</v>
      </c>
      <c r="T165">
        <v>668.55</v>
      </c>
      <c r="U165">
        <v>30.1</v>
      </c>
      <c r="V165" t="str" cm="1">
        <f t="array" ref="V16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65" t="s">
        <v>41</v>
      </c>
      <c r="X165">
        <v>0</v>
      </c>
      <c r="Y165">
        <v>0</v>
      </c>
      <c r="Z165" s="5">
        <f>IF(Merge1[[#This Row],[loan_applications.defaulted]]=0,Merge1[[#This Row],[loan_applications.loan_amount]]*(Merge1[[#This Row],[loan_applications.interest_rate]]/100)*(Merge1[[#This Row],[loan_applications.term_months]]/12),0)</f>
        <v>6774.84</v>
      </c>
      <c r="AA165" s="5">
        <f>IF(Merge1[[#This Row],[loan_applications.defaulted]]=1,Merge1[[#This Row],[loan_applications.loan_amount]],0)</f>
        <v>0</v>
      </c>
    </row>
    <row r="166" spans="1:27" x14ac:dyDescent="0.35">
      <c r="A166" t="s">
        <v>369</v>
      </c>
      <c r="B166" t="s">
        <v>370</v>
      </c>
      <c r="C166" s="1">
        <v>45456</v>
      </c>
      <c r="D166">
        <v>26</v>
      </c>
      <c r="E166" t="s">
        <v>67</v>
      </c>
      <c r="F166" t="s">
        <v>62</v>
      </c>
      <c r="G166" t="s">
        <v>63</v>
      </c>
      <c r="H166">
        <v>3</v>
      </c>
      <c r="I166" s="5">
        <v>57088</v>
      </c>
      <c r="J166" t="str" cm="1">
        <f t="array" ref="J16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66">
        <v>850</v>
      </c>
      <c r="L166" t="s">
        <v>34</v>
      </c>
      <c r="M166">
        <v>0</v>
      </c>
      <c r="N166">
        <v>1010</v>
      </c>
      <c r="O166" t="str" cm="1">
        <f t="array" ref="O16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66" t="s">
        <v>60</v>
      </c>
      <c r="Q166" s="5">
        <v>9200</v>
      </c>
      <c r="R166">
        <v>24</v>
      </c>
      <c r="S166">
        <v>8.93</v>
      </c>
      <c r="T166">
        <v>420</v>
      </c>
      <c r="U166">
        <v>30.1</v>
      </c>
      <c r="V166" t="str" cm="1">
        <f t="array" ref="V16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66" t="s">
        <v>21</v>
      </c>
      <c r="X166">
        <v>0</v>
      </c>
      <c r="Y166">
        <v>0</v>
      </c>
      <c r="Z166" s="5">
        <f>IF(Merge1[[#This Row],[loan_applications.defaulted]]=0,Merge1[[#This Row],[loan_applications.loan_amount]]*(Merge1[[#This Row],[loan_applications.interest_rate]]/100)*(Merge1[[#This Row],[loan_applications.term_months]]/12),0)</f>
        <v>1643.12</v>
      </c>
      <c r="AA166" s="5">
        <f>IF(Merge1[[#This Row],[loan_applications.defaulted]]=1,Merge1[[#This Row],[loan_applications.loan_amount]],0)</f>
        <v>0</v>
      </c>
    </row>
    <row r="167" spans="1:27" x14ac:dyDescent="0.35">
      <c r="A167" t="s">
        <v>371</v>
      </c>
      <c r="B167" t="s">
        <v>370</v>
      </c>
      <c r="C167" s="1">
        <v>45743</v>
      </c>
      <c r="D167">
        <v>26</v>
      </c>
      <c r="E167" t="s">
        <v>67</v>
      </c>
      <c r="F167" t="s">
        <v>62</v>
      </c>
      <c r="G167" t="s">
        <v>63</v>
      </c>
      <c r="H167">
        <v>3</v>
      </c>
      <c r="I167" s="5">
        <v>57088</v>
      </c>
      <c r="J167" t="str" cm="1">
        <f t="array" ref="J16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67">
        <v>850</v>
      </c>
      <c r="L167" t="s">
        <v>34</v>
      </c>
      <c r="M167">
        <v>0</v>
      </c>
      <c r="N167">
        <v>1010</v>
      </c>
      <c r="O167" t="str" cm="1">
        <f t="array" ref="O16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67" t="s">
        <v>50</v>
      </c>
      <c r="Q167" s="5">
        <v>5100</v>
      </c>
      <c r="R167">
        <v>36</v>
      </c>
      <c r="S167">
        <v>8.7100000000000009</v>
      </c>
      <c r="T167">
        <v>161.49</v>
      </c>
      <c r="U167">
        <v>24.6</v>
      </c>
      <c r="V167" t="str" cm="1">
        <f t="array" ref="V16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67" t="s">
        <v>41</v>
      </c>
      <c r="X167">
        <v>0</v>
      </c>
      <c r="Y167">
        <v>0</v>
      </c>
      <c r="Z167" s="5">
        <f>IF(Merge1[[#This Row],[loan_applications.defaulted]]=0,Merge1[[#This Row],[loan_applications.loan_amount]]*(Merge1[[#This Row],[loan_applications.interest_rate]]/100)*(Merge1[[#This Row],[loan_applications.term_months]]/12),0)</f>
        <v>1332.63</v>
      </c>
      <c r="AA167" s="5">
        <f>IF(Merge1[[#This Row],[loan_applications.defaulted]]=1,Merge1[[#This Row],[loan_applications.loan_amount]],0)</f>
        <v>0</v>
      </c>
    </row>
    <row r="168" spans="1:27" x14ac:dyDescent="0.35">
      <c r="A168" t="s">
        <v>372</v>
      </c>
      <c r="B168" t="s">
        <v>373</v>
      </c>
      <c r="C168" s="1">
        <v>45458</v>
      </c>
      <c r="D168">
        <v>61</v>
      </c>
      <c r="E168" t="s">
        <v>157</v>
      </c>
      <c r="F168" t="s">
        <v>32</v>
      </c>
      <c r="G168" t="s">
        <v>16</v>
      </c>
      <c r="H168">
        <v>6</v>
      </c>
      <c r="I168" s="5">
        <v>63686</v>
      </c>
      <c r="J168" t="str" cm="1">
        <f t="array" ref="J16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68">
        <v>758</v>
      </c>
      <c r="L168" t="s">
        <v>27</v>
      </c>
      <c r="M168">
        <v>1</v>
      </c>
      <c r="N168">
        <v>474</v>
      </c>
      <c r="O168" t="str" cm="1">
        <f t="array" ref="O16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68" t="s">
        <v>45</v>
      </c>
      <c r="Q168" s="5">
        <v>9100</v>
      </c>
      <c r="R168">
        <v>48</v>
      </c>
      <c r="S168">
        <v>10.07</v>
      </c>
      <c r="T168">
        <v>231.11</v>
      </c>
      <c r="U168">
        <v>13.3</v>
      </c>
      <c r="V168" t="str" cm="1">
        <f t="array" ref="V16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68" t="s">
        <v>41</v>
      </c>
      <c r="X168">
        <v>0</v>
      </c>
      <c r="Y168">
        <v>0</v>
      </c>
      <c r="Z168" s="5">
        <f>IF(Merge1[[#This Row],[loan_applications.defaulted]]=0,Merge1[[#This Row],[loan_applications.loan_amount]]*(Merge1[[#This Row],[loan_applications.interest_rate]]/100)*(Merge1[[#This Row],[loan_applications.term_months]]/12),0)</f>
        <v>3665.48</v>
      </c>
      <c r="AA168" s="5">
        <f>IF(Merge1[[#This Row],[loan_applications.defaulted]]=1,Merge1[[#This Row],[loan_applications.loan_amount]],0)</f>
        <v>0</v>
      </c>
    </row>
    <row r="169" spans="1:27" x14ac:dyDescent="0.35">
      <c r="A169" t="s">
        <v>374</v>
      </c>
      <c r="B169" t="s">
        <v>375</v>
      </c>
      <c r="C169" s="1">
        <v>45811</v>
      </c>
      <c r="D169">
        <v>41</v>
      </c>
      <c r="E169" t="s">
        <v>83</v>
      </c>
      <c r="F169" t="s">
        <v>62</v>
      </c>
      <c r="G169" t="s">
        <v>26</v>
      </c>
      <c r="H169">
        <v>16</v>
      </c>
      <c r="I169" s="5">
        <v>121448</v>
      </c>
      <c r="J169" t="str" cm="1">
        <f t="array" ref="J16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69">
        <v>589</v>
      </c>
      <c r="L169" t="s">
        <v>34</v>
      </c>
      <c r="M169">
        <v>1</v>
      </c>
      <c r="N169">
        <v>5090</v>
      </c>
      <c r="O169" t="str" cm="1">
        <f t="array" ref="O16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69" t="s">
        <v>50</v>
      </c>
      <c r="Q169" s="5">
        <v>46500</v>
      </c>
      <c r="R169">
        <v>24</v>
      </c>
      <c r="S169">
        <v>10.199999999999999</v>
      </c>
      <c r="T169">
        <v>2150.0300000000002</v>
      </c>
      <c r="U169">
        <v>71.5</v>
      </c>
      <c r="V169" t="str" cm="1">
        <f t="array" ref="V16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69" t="s">
        <v>24</v>
      </c>
      <c r="X169">
        <v>105</v>
      </c>
      <c r="Y169">
        <v>1</v>
      </c>
      <c r="Z16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69" s="5">
        <f>IF(Merge1[[#This Row],[loan_applications.defaulted]]=1,Merge1[[#This Row],[loan_applications.loan_amount]],0)</f>
        <v>46500</v>
      </c>
    </row>
    <row r="170" spans="1:27" x14ac:dyDescent="0.35">
      <c r="A170" t="s">
        <v>376</v>
      </c>
      <c r="B170" t="s">
        <v>375</v>
      </c>
      <c r="C170" s="1">
        <v>45744</v>
      </c>
      <c r="D170">
        <v>41</v>
      </c>
      <c r="E170" t="s">
        <v>83</v>
      </c>
      <c r="F170" t="s">
        <v>62</v>
      </c>
      <c r="G170" t="s">
        <v>26</v>
      </c>
      <c r="H170">
        <v>16</v>
      </c>
      <c r="I170" s="5">
        <v>121448</v>
      </c>
      <c r="J170" t="str" cm="1">
        <f t="array" ref="J17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70">
        <v>589</v>
      </c>
      <c r="L170" t="s">
        <v>34</v>
      </c>
      <c r="M170">
        <v>1</v>
      </c>
      <c r="N170">
        <v>5090</v>
      </c>
      <c r="O170" t="str" cm="1">
        <f t="array" ref="O17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70" t="s">
        <v>20</v>
      </c>
      <c r="Q170" s="5">
        <v>48500</v>
      </c>
      <c r="R170">
        <v>60</v>
      </c>
      <c r="S170">
        <v>13.52</v>
      </c>
      <c r="T170">
        <v>1116.48</v>
      </c>
      <c r="U170">
        <v>61.3</v>
      </c>
      <c r="V170" t="str" cm="1">
        <f t="array" ref="V17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70" t="s">
        <v>24</v>
      </c>
      <c r="X170">
        <v>58</v>
      </c>
      <c r="Y170">
        <v>1</v>
      </c>
      <c r="Z17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70" s="5">
        <f>IF(Merge1[[#This Row],[loan_applications.defaulted]]=1,Merge1[[#This Row],[loan_applications.loan_amount]],0)</f>
        <v>48500</v>
      </c>
    </row>
    <row r="171" spans="1:27" x14ac:dyDescent="0.35">
      <c r="A171" t="s">
        <v>377</v>
      </c>
      <c r="B171" t="s">
        <v>378</v>
      </c>
      <c r="C171" s="1">
        <v>45517</v>
      </c>
      <c r="D171">
        <v>44</v>
      </c>
      <c r="E171" t="s">
        <v>31</v>
      </c>
      <c r="F171" t="s">
        <v>32</v>
      </c>
      <c r="G171" t="s">
        <v>75</v>
      </c>
      <c r="H171">
        <v>7</v>
      </c>
      <c r="I171" s="5">
        <v>49067</v>
      </c>
      <c r="J171" t="str" cm="1">
        <f t="array" ref="J17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71">
        <v>605</v>
      </c>
      <c r="L171" t="s">
        <v>27</v>
      </c>
      <c r="M171">
        <v>0</v>
      </c>
      <c r="N171">
        <v>1436</v>
      </c>
      <c r="O171" t="str" cm="1">
        <f t="array" ref="O17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71" t="s">
        <v>60</v>
      </c>
      <c r="Q171" s="5">
        <v>13500</v>
      </c>
      <c r="R171">
        <v>36</v>
      </c>
      <c r="S171">
        <v>10.039999999999999</v>
      </c>
      <c r="T171">
        <v>435.86</v>
      </c>
      <c r="U171">
        <v>45.8</v>
      </c>
      <c r="V171" t="str" cm="1">
        <f t="array" ref="V17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71" t="s">
        <v>41</v>
      </c>
      <c r="X171">
        <v>0</v>
      </c>
      <c r="Y171">
        <v>0</v>
      </c>
      <c r="Z171" s="5">
        <f>IF(Merge1[[#This Row],[loan_applications.defaulted]]=0,Merge1[[#This Row],[loan_applications.loan_amount]]*(Merge1[[#This Row],[loan_applications.interest_rate]]/100)*(Merge1[[#This Row],[loan_applications.term_months]]/12),0)</f>
        <v>4066.2</v>
      </c>
      <c r="AA171" s="5">
        <f>IF(Merge1[[#This Row],[loan_applications.defaulted]]=1,Merge1[[#This Row],[loan_applications.loan_amount]],0)</f>
        <v>0</v>
      </c>
    </row>
    <row r="172" spans="1:27" x14ac:dyDescent="0.35">
      <c r="A172" t="s">
        <v>379</v>
      </c>
      <c r="B172" t="s">
        <v>380</v>
      </c>
      <c r="C172" s="1">
        <v>45377</v>
      </c>
      <c r="D172">
        <v>63</v>
      </c>
      <c r="E172" t="s">
        <v>14</v>
      </c>
      <c r="F172" t="s">
        <v>15</v>
      </c>
      <c r="G172" t="s">
        <v>75</v>
      </c>
      <c r="H172">
        <v>28</v>
      </c>
      <c r="I172" s="5">
        <v>26701</v>
      </c>
      <c r="J172" t="str" cm="1">
        <f t="array" ref="J17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72">
        <v>762</v>
      </c>
      <c r="L172" t="s">
        <v>17</v>
      </c>
      <c r="M172">
        <v>2</v>
      </c>
      <c r="N172">
        <v>818</v>
      </c>
      <c r="O172" t="str" cm="1">
        <f t="array" ref="O17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72" t="s">
        <v>71</v>
      </c>
      <c r="Q172" s="5">
        <v>19900</v>
      </c>
      <c r="R172">
        <v>36</v>
      </c>
      <c r="S172">
        <v>8.2799999999999994</v>
      </c>
      <c r="T172">
        <v>626.16999999999996</v>
      </c>
      <c r="U172">
        <v>64.900000000000006</v>
      </c>
      <c r="V172" t="str" cm="1">
        <f t="array" ref="V17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72" t="s">
        <v>91</v>
      </c>
      <c r="X172">
        <v>0</v>
      </c>
      <c r="Y172">
        <v>0</v>
      </c>
      <c r="Z172" s="5">
        <f>IF(Merge1[[#This Row],[loan_applications.defaulted]]=0,Merge1[[#This Row],[loan_applications.loan_amount]]*(Merge1[[#This Row],[loan_applications.interest_rate]]/100)*(Merge1[[#This Row],[loan_applications.term_months]]/12),0)</f>
        <v>4943.16</v>
      </c>
      <c r="AA172" s="5">
        <f>IF(Merge1[[#This Row],[loan_applications.defaulted]]=1,Merge1[[#This Row],[loan_applications.loan_amount]],0)</f>
        <v>0</v>
      </c>
    </row>
    <row r="173" spans="1:27" x14ac:dyDescent="0.35">
      <c r="A173" t="s">
        <v>381</v>
      </c>
      <c r="B173" t="s">
        <v>382</v>
      </c>
      <c r="C173" s="1">
        <v>45349</v>
      </c>
      <c r="D173">
        <v>61</v>
      </c>
      <c r="E173" t="s">
        <v>25</v>
      </c>
      <c r="F173" t="s">
        <v>68</v>
      </c>
      <c r="G173" t="s">
        <v>75</v>
      </c>
      <c r="H173">
        <v>4</v>
      </c>
      <c r="I173" s="5">
        <v>26403</v>
      </c>
      <c r="J173" t="str" cm="1">
        <f t="array" ref="J17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73">
        <v>750</v>
      </c>
      <c r="L173" t="s">
        <v>34</v>
      </c>
      <c r="M173">
        <v>1</v>
      </c>
      <c r="N173">
        <v>412</v>
      </c>
      <c r="O173" t="str" cm="1">
        <f t="array" ref="O17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73" t="s">
        <v>30</v>
      </c>
      <c r="Q173" s="5">
        <v>11000</v>
      </c>
      <c r="R173">
        <v>60</v>
      </c>
      <c r="S173">
        <v>10.53</v>
      </c>
      <c r="T173">
        <v>236.6</v>
      </c>
      <c r="U173">
        <v>29.5</v>
      </c>
      <c r="V173" t="str" cm="1">
        <f t="array" ref="V17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73" t="s">
        <v>41</v>
      </c>
      <c r="X173">
        <v>0</v>
      </c>
      <c r="Y173">
        <v>0</v>
      </c>
      <c r="Z173" s="5">
        <f>IF(Merge1[[#This Row],[loan_applications.defaulted]]=0,Merge1[[#This Row],[loan_applications.loan_amount]]*(Merge1[[#This Row],[loan_applications.interest_rate]]/100)*(Merge1[[#This Row],[loan_applications.term_months]]/12),0)</f>
        <v>5791.5</v>
      </c>
      <c r="AA173" s="5">
        <f>IF(Merge1[[#This Row],[loan_applications.defaulted]]=1,Merge1[[#This Row],[loan_applications.loan_amount]],0)</f>
        <v>0</v>
      </c>
    </row>
    <row r="174" spans="1:27" x14ac:dyDescent="0.35">
      <c r="A174" t="s">
        <v>384</v>
      </c>
      <c r="B174" t="s">
        <v>385</v>
      </c>
      <c r="C174" s="1">
        <v>45748</v>
      </c>
      <c r="D174">
        <v>25</v>
      </c>
      <c r="E174" t="s">
        <v>383</v>
      </c>
      <c r="F174" t="s">
        <v>32</v>
      </c>
      <c r="G174" t="s">
        <v>26</v>
      </c>
      <c r="H174">
        <v>0</v>
      </c>
      <c r="I174" s="5">
        <v>70059</v>
      </c>
      <c r="J174" t="str" cm="1">
        <f t="array" ref="J174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74">
        <v>554</v>
      </c>
      <c r="L174" t="s">
        <v>34</v>
      </c>
      <c r="M174">
        <v>0</v>
      </c>
      <c r="N174">
        <v>2814</v>
      </c>
      <c r="O174" t="str" cm="1">
        <f t="array" ref="O17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74" t="s">
        <v>45</v>
      </c>
      <c r="Q174" s="5">
        <v>2600</v>
      </c>
      <c r="R174">
        <v>36</v>
      </c>
      <c r="S174">
        <v>12.52</v>
      </c>
      <c r="T174">
        <v>87</v>
      </c>
      <c r="U174">
        <v>49.7</v>
      </c>
      <c r="V174" t="str" cm="1">
        <f t="array" ref="V17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74" t="s">
        <v>21</v>
      </c>
      <c r="X174">
        <v>0</v>
      </c>
      <c r="Y174">
        <v>0</v>
      </c>
      <c r="Z174" s="5">
        <f>IF(Merge1[[#This Row],[loan_applications.defaulted]]=0,Merge1[[#This Row],[loan_applications.loan_amount]]*(Merge1[[#This Row],[loan_applications.interest_rate]]/100)*(Merge1[[#This Row],[loan_applications.term_months]]/12),0)</f>
        <v>976.56000000000017</v>
      </c>
      <c r="AA174" s="5">
        <f>IF(Merge1[[#This Row],[loan_applications.defaulted]]=1,Merge1[[#This Row],[loan_applications.loan_amount]],0)</f>
        <v>0</v>
      </c>
    </row>
    <row r="175" spans="1:27" x14ac:dyDescent="0.35">
      <c r="A175" t="s">
        <v>386</v>
      </c>
      <c r="B175" t="s">
        <v>385</v>
      </c>
      <c r="C175" s="1">
        <v>45726</v>
      </c>
      <c r="D175">
        <v>25</v>
      </c>
      <c r="E175" t="s">
        <v>383</v>
      </c>
      <c r="F175" t="s">
        <v>32</v>
      </c>
      <c r="G175" t="s">
        <v>26</v>
      </c>
      <c r="H175">
        <v>0</v>
      </c>
      <c r="I175" s="5">
        <v>70059</v>
      </c>
      <c r="J175" t="str" cm="1">
        <f t="array" ref="J175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75">
        <v>554</v>
      </c>
      <c r="L175" t="s">
        <v>34</v>
      </c>
      <c r="M175">
        <v>0</v>
      </c>
      <c r="N175">
        <v>2814</v>
      </c>
      <c r="O175" t="str" cm="1">
        <f t="array" ref="O17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75" t="s">
        <v>20</v>
      </c>
      <c r="Q175" s="5">
        <v>21900</v>
      </c>
      <c r="R175">
        <v>48</v>
      </c>
      <c r="S175">
        <v>12.21</v>
      </c>
      <c r="T175">
        <v>578.97</v>
      </c>
      <c r="U175">
        <v>58.1</v>
      </c>
      <c r="V175" t="str" cm="1">
        <f t="array" ref="V17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75" t="s">
        <v>21</v>
      </c>
      <c r="X175">
        <v>0</v>
      </c>
      <c r="Y175">
        <v>0</v>
      </c>
      <c r="Z175" s="5">
        <f>IF(Merge1[[#This Row],[loan_applications.defaulted]]=0,Merge1[[#This Row],[loan_applications.loan_amount]]*(Merge1[[#This Row],[loan_applications.interest_rate]]/100)*(Merge1[[#This Row],[loan_applications.term_months]]/12),0)</f>
        <v>10695.960000000001</v>
      </c>
      <c r="AA175" s="5">
        <f>IF(Merge1[[#This Row],[loan_applications.defaulted]]=1,Merge1[[#This Row],[loan_applications.loan_amount]],0)</f>
        <v>0</v>
      </c>
    </row>
    <row r="176" spans="1:27" x14ac:dyDescent="0.35">
      <c r="A176" t="s">
        <v>387</v>
      </c>
      <c r="B176" t="s">
        <v>388</v>
      </c>
      <c r="C176" s="1">
        <v>45359</v>
      </c>
      <c r="D176">
        <v>27</v>
      </c>
      <c r="E176" t="s">
        <v>57</v>
      </c>
      <c r="F176" t="s">
        <v>32</v>
      </c>
      <c r="G176" t="s">
        <v>26</v>
      </c>
      <c r="H176">
        <v>0</v>
      </c>
      <c r="I176" s="5">
        <v>70121</v>
      </c>
      <c r="J176" t="str" cm="1">
        <f t="array" ref="J17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76">
        <v>818</v>
      </c>
      <c r="L176" t="s">
        <v>34</v>
      </c>
      <c r="M176">
        <v>2</v>
      </c>
      <c r="N176">
        <v>842</v>
      </c>
      <c r="O176" t="str" cm="1">
        <f t="array" ref="O17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76" t="s">
        <v>50</v>
      </c>
      <c r="Q176" s="5">
        <v>19300</v>
      </c>
      <c r="R176">
        <v>60</v>
      </c>
      <c r="S176">
        <v>11.3</v>
      </c>
      <c r="T176">
        <v>422.52</v>
      </c>
      <c r="U176">
        <v>21.6</v>
      </c>
      <c r="V176" t="str" cm="1">
        <f t="array" ref="V17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76" t="s">
        <v>41</v>
      </c>
      <c r="X176">
        <v>0</v>
      </c>
      <c r="Y176">
        <v>0</v>
      </c>
      <c r="Z176" s="5">
        <f>IF(Merge1[[#This Row],[loan_applications.defaulted]]=0,Merge1[[#This Row],[loan_applications.loan_amount]]*(Merge1[[#This Row],[loan_applications.interest_rate]]/100)*(Merge1[[#This Row],[loan_applications.term_months]]/12),0)</f>
        <v>10904.5</v>
      </c>
      <c r="AA176" s="5">
        <f>IF(Merge1[[#This Row],[loan_applications.defaulted]]=1,Merge1[[#This Row],[loan_applications.loan_amount]],0)</f>
        <v>0</v>
      </c>
    </row>
    <row r="177" spans="1:27" x14ac:dyDescent="0.35">
      <c r="A177" t="s">
        <v>389</v>
      </c>
      <c r="B177" t="s">
        <v>390</v>
      </c>
      <c r="C177" s="1">
        <v>45432</v>
      </c>
      <c r="D177">
        <v>60</v>
      </c>
      <c r="E177" t="s">
        <v>42</v>
      </c>
      <c r="F177" t="s">
        <v>32</v>
      </c>
      <c r="G177" t="s">
        <v>26</v>
      </c>
      <c r="H177">
        <v>21</v>
      </c>
      <c r="I177" s="5">
        <v>44547</v>
      </c>
      <c r="J177" t="str" cm="1">
        <f t="array" ref="J17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77">
        <v>582</v>
      </c>
      <c r="L177" t="s">
        <v>17</v>
      </c>
      <c r="M177">
        <v>1</v>
      </c>
      <c r="N177">
        <v>505</v>
      </c>
      <c r="O177" t="str" cm="1">
        <f t="array" ref="O17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77" t="s">
        <v>37</v>
      </c>
      <c r="Q177" s="5">
        <v>20600</v>
      </c>
      <c r="R177">
        <v>60</v>
      </c>
      <c r="S177">
        <v>14.08</v>
      </c>
      <c r="T177">
        <v>480.18</v>
      </c>
      <c r="U177">
        <v>26.5</v>
      </c>
      <c r="V177" t="str" cm="1">
        <f t="array" ref="V17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77" t="s">
        <v>24</v>
      </c>
      <c r="X177">
        <v>127</v>
      </c>
      <c r="Y177">
        <v>1</v>
      </c>
      <c r="Z17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77" s="5">
        <f>IF(Merge1[[#This Row],[loan_applications.defaulted]]=1,Merge1[[#This Row],[loan_applications.loan_amount]],0)</f>
        <v>20600</v>
      </c>
    </row>
    <row r="178" spans="1:27" x14ac:dyDescent="0.35">
      <c r="A178" t="s">
        <v>391</v>
      </c>
      <c r="B178" t="s">
        <v>392</v>
      </c>
      <c r="C178" s="1">
        <v>45766</v>
      </c>
      <c r="D178">
        <v>37</v>
      </c>
      <c r="E178" t="s">
        <v>61</v>
      </c>
      <c r="F178" t="s">
        <v>62</v>
      </c>
      <c r="G178" t="s">
        <v>75</v>
      </c>
      <c r="H178">
        <v>5</v>
      </c>
      <c r="I178" s="5">
        <v>59739</v>
      </c>
      <c r="J178" t="str" cm="1">
        <f t="array" ref="J17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78">
        <v>842</v>
      </c>
      <c r="L178" t="s">
        <v>34</v>
      </c>
      <c r="M178">
        <v>0</v>
      </c>
      <c r="N178">
        <v>1266</v>
      </c>
      <c r="O178" t="str" cm="1">
        <f t="array" ref="O17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78" t="s">
        <v>20</v>
      </c>
      <c r="Q178" s="5">
        <v>17700</v>
      </c>
      <c r="R178">
        <v>60</v>
      </c>
      <c r="S178">
        <v>7.49</v>
      </c>
      <c r="T178">
        <v>354.59</v>
      </c>
      <c r="U178">
        <v>32.6</v>
      </c>
      <c r="V178" t="str" cm="1">
        <f t="array" ref="V17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78" t="s">
        <v>41</v>
      </c>
      <c r="X178">
        <v>0</v>
      </c>
      <c r="Y178">
        <v>0</v>
      </c>
      <c r="Z178" s="5">
        <f>IF(Merge1[[#This Row],[loan_applications.defaulted]]=0,Merge1[[#This Row],[loan_applications.loan_amount]]*(Merge1[[#This Row],[loan_applications.interest_rate]]/100)*(Merge1[[#This Row],[loan_applications.term_months]]/12),0)</f>
        <v>6628.6500000000015</v>
      </c>
      <c r="AA178" s="5">
        <f>IF(Merge1[[#This Row],[loan_applications.defaulted]]=1,Merge1[[#This Row],[loan_applications.loan_amount]],0)</f>
        <v>0</v>
      </c>
    </row>
    <row r="179" spans="1:27" x14ac:dyDescent="0.35">
      <c r="A179" t="s">
        <v>393</v>
      </c>
      <c r="B179" t="s">
        <v>394</v>
      </c>
      <c r="C179" s="1">
        <v>45795</v>
      </c>
      <c r="D179">
        <v>43</v>
      </c>
      <c r="E179" t="s">
        <v>109</v>
      </c>
      <c r="F179" t="s">
        <v>32</v>
      </c>
      <c r="G179" t="s">
        <v>26</v>
      </c>
      <c r="H179">
        <v>2</v>
      </c>
      <c r="I179" s="5">
        <v>80850</v>
      </c>
      <c r="J179" t="str" cm="1">
        <f t="array" ref="J17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79">
        <v>711</v>
      </c>
      <c r="L179" t="s">
        <v>34</v>
      </c>
      <c r="M179">
        <v>2</v>
      </c>
      <c r="N179">
        <v>1294</v>
      </c>
      <c r="O179" t="str" cm="1">
        <f t="array" ref="O17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79" t="s">
        <v>20</v>
      </c>
      <c r="Q179" s="5">
        <v>24800</v>
      </c>
      <c r="R179">
        <v>36</v>
      </c>
      <c r="S179">
        <v>10.24</v>
      </c>
      <c r="T179">
        <v>803.02</v>
      </c>
      <c r="U179">
        <v>31.1</v>
      </c>
      <c r="V179" t="str" cm="1">
        <f t="array" ref="V17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79" t="s">
        <v>41</v>
      </c>
      <c r="X179">
        <v>0</v>
      </c>
      <c r="Y179">
        <v>0</v>
      </c>
      <c r="Z179" s="5">
        <f>IF(Merge1[[#This Row],[loan_applications.defaulted]]=0,Merge1[[#This Row],[loan_applications.loan_amount]]*(Merge1[[#This Row],[loan_applications.interest_rate]]/100)*(Merge1[[#This Row],[loan_applications.term_months]]/12),0)</f>
        <v>7618.5599999999995</v>
      </c>
      <c r="AA179" s="5">
        <f>IF(Merge1[[#This Row],[loan_applications.defaulted]]=1,Merge1[[#This Row],[loan_applications.loan_amount]],0)</f>
        <v>0</v>
      </c>
    </row>
    <row r="180" spans="1:27" x14ac:dyDescent="0.35">
      <c r="A180" t="s">
        <v>395</v>
      </c>
      <c r="B180" t="s">
        <v>396</v>
      </c>
      <c r="C180" s="1">
        <v>45738</v>
      </c>
      <c r="D180">
        <v>68</v>
      </c>
      <c r="E180" t="s">
        <v>125</v>
      </c>
      <c r="F180" t="s">
        <v>62</v>
      </c>
      <c r="G180" t="s">
        <v>75</v>
      </c>
      <c r="H180">
        <v>21</v>
      </c>
      <c r="I180" s="5">
        <v>63786</v>
      </c>
      <c r="J180" t="str" cm="1">
        <f t="array" ref="J18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0">
        <v>611</v>
      </c>
      <c r="L180" t="s">
        <v>27</v>
      </c>
      <c r="M180">
        <v>0</v>
      </c>
      <c r="N180">
        <v>1195</v>
      </c>
      <c r="O180" t="str" cm="1">
        <f t="array" ref="O18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80" t="s">
        <v>20</v>
      </c>
      <c r="Q180" s="5">
        <v>5200</v>
      </c>
      <c r="R180">
        <v>36</v>
      </c>
      <c r="S180">
        <v>12.72</v>
      </c>
      <c r="T180">
        <v>174.51</v>
      </c>
      <c r="U180">
        <v>25.8</v>
      </c>
      <c r="V180" t="str" cm="1">
        <f t="array" ref="V18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80" t="s">
        <v>41</v>
      </c>
      <c r="X180">
        <v>0</v>
      </c>
      <c r="Y180">
        <v>0</v>
      </c>
      <c r="Z180" s="5">
        <f>IF(Merge1[[#This Row],[loan_applications.defaulted]]=0,Merge1[[#This Row],[loan_applications.loan_amount]]*(Merge1[[#This Row],[loan_applications.interest_rate]]/100)*(Merge1[[#This Row],[loan_applications.term_months]]/12),0)</f>
        <v>1984.3200000000002</v>
      </c>
      <c r="AA180" s="5">
        <f>IF(Merge1[[#This Row],[loan_applications.defaulted]]=1,Merge1[[#This Row],[loan_applications.loan_amount]],0)</f>
        <v>0</v>
      </c>
    </row>
    <row r="181" spans="1:27" x14ac:dyDescent="0.35">
      <c r="A181" t="s">
        <v>397</v>
      </c>
      <c r="B181" t="s">
        <v>398</v>
      </c>
      <c r="C181" s="1">
        <v>45458</v>
      </c>
      <c r="D181">
        <v>63</v>
      </c>
      <c r="E181" t="s">
        <v>25</v>
      </c>
      <c r="F181" t="s">
        <v>32</v>
      </c>
      <c r="G181" t="s">
        <v>26</v>
      </c>
      <c r="H181">
        <v>19</v>
      </c>
      <c r="I181" s="5">
        <v>78563</v>
      </c>
      <c r="J181" t="str" cm="1">
        <f t="array" ref="J18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1">
        <v>578</v>
      </c>
      <c r="L181" t="s">
        <v>34</v>
      </c>
      <c r="M181">
        <v>2</v>
      </c>
      <c r="N181">
        <v>2989</v>
      </c>
      <c r="O181" t="str" cm="1">
        <f t="array" ref="O18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181" t="s">
        <v>54</v>
      </c>
      <c r="Q181" s="5">
        <v>37200</v>
      </c>
      <c r="R181">
        <v>12</v>
      </c>
      <c r="S181">
        <v>14.59</v>
      </c>
      <c r="T181">
        <v>3350.42</v>
      </c>
      <c r="U181">
        <v>96.8</v>
      </c>
      <c r="V181" t="str" cm="1">
        <f t="array" ref="V18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81" t="s">
        <v>41</v>
      </c>
      <c r="X181">
        <v>0</v>
      </c>
      <c r="Y181">
        <v>0</v>
      </c>
      <c r="Z181" s="5">
        <f>IF(Merge1[[#This Row],[loan_applications.defaulted]]=0,Merge1[[#This Row],[loan_applications.loan_amount]]*(Merge1[[#This Row],[loan_applications.interest_rate]]/100)*(Merge1[[#This Row],[loan_applications.term_months]]/12),0)</f>
        <v>5427.4800000000005</v>
      </c>
      <c r="AA181" s="5">
        <f>IF(Merge1[[#This Row],[loan_applications.defaulted]]=1,Merge1[[#This Row],[loan_applications.loan_amount]],0)</f>
        <v>0</v>
      </c>
    </row>
    <row r="182" spans="1:27" x14ac:dyDescent="0.35">
      <c r="A182" t="s">
        <v>399</v>
      </c>
      <c r="B182" t="s">
        <v>400</v>
      </c>
      <c r="C182" s="1">
        <v>45656</v>
      </c>
      <c r="D182">
        <v>64</v>
      </c>
      <c r="E182" t="s">
        <v>92</v>
      </c>
      <c r="F182" t="s">
        <v>62</v>
      </c>
      <c r="G182" t="s">
        <v>75</v>
      </c>
      <c r="H182">
        <v>5</v>
      </c>
      <c r="I182" s="5">
        <v>84093</v>
      </c>
      <c r="J182" t="str" cm="1">
        <f t="array" ref="J18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82">
        <v>809</v>
      </c>
      <c r="L182" t="s">
        <v>34</v>
      </c>
      <c r="M182">
        <v>1</v>
      </c>
      <c r="N182">
        <v>414</v>
      </c>
      <c r="O182" t="str" cm="1">
        <f t="array" ref="O18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2" t="s">
        <v>45</v>
      </c>
      <c r="Q182" s="5">
        <v>12800</v>
      </c>
      <c r="R182">
        <v>48</v>
      </c>
      <c r="S182">
        <v>9.6999999999999993</v>
      </c>
      <c r="T182">
        <v>322.8</v>
      </c>
      <c r="U182">
        <v>10.5</v>
      </c>
      <c r="V182" t="str" cm="1">
        <f t="array" ref="V18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182" t="s">
        <v>24</v>
      </c>
      <c r="X182">
        <v>104</v>
      </c>
      <c r="Y182">
        <v>1</v>
      </c>
      <c r="Z18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82" s="5">
        <f>IF(Merge1[[#This Row],[loan_applications.defaulted]]=1,Merge1[[#This Row],[loan_applications.loan_amount]],0)</f>
        <v>12800</v>
      </c>
    </row>
    <row r="183" spans="1:27" x14ac:dyDescent="0.35">
      <c r="A183" t="s">
        <v>401</v>
      </c>
      <c r="B183" t="s">
        <v>402</v>
      </c>
      <c r="C183" s="1">
        <v>45463</v>
      </c>
      <c r="D183">
        <v>41</v>
      </c>
      <c r="E183" t="s">
        <v>193</v>
      </c>
      <c r="F183" t="s">
        <v>15</v>
      </c>
      <c r="G183" t="s">
        <v>26</v>
      </c>
      <c r="H183">
        <v>6</v>
      </c>
      <c r="I183" s="5">
        <v>55757</v>
      </c>
      <c r="J183" t="str" cm="1">
        <f t="array" ref="J18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183">
        <v>778</v>
      </c>
      <c r="L183" t="s">
        <v>27</v>
      </c>
      <c r="M183">
        <v>0</v>
      </c>
      <c r="N183">
        <v>919</v>
      </c>
      <c r="O183" t="str" cm="1">
        <f t="array" ref="O18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3" t="s">
        <v>54</v>
      </c>
      <c r="Q183" s="5">
        <v>38800</v>
      </c>
      <c r="R183">
        <v>24</v>
      </c>
      <c r="S183">
        <v>10.86</v>
      </c>
      <c r="T183">
        <v>1805.86</v>
      </c>
      <c r="U183">
        <v>58.6</v>
      </c>
      <c r="V183" t="str" cm="1">
        <f t="array" ref="V18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83" t="s">
        <v>91</v>
      </c>
      <c r="X183">
        <v>15</v>
      </c>
      <c r="Y183">
        <v>0</v>
      </c>
      <c r="Z183" s="5">
        <f>IF(Merge1[[#This Row],[loan_applications.defaulted]]=0,Merge1[[#This Row],[loan_applications.loan_amount]]*(Merge1[[#This Row],[loan_applications.interest_rate]]/100)*(Merge1[[#This Row],[loan_applications.term_months]]/12),0)</f>
        <v>8427.3599999999988</v>
      </c>
      <c r="AA183" s="5">
        <f>IF(Merge1[[#This Row],[loan_applications.defaulted]]=1,Merge1[[#This Row],[loan_applications.loan_amount]],0)</f>
        <v>0</v>
      </c>
    </row>
    <row r="184" spans="1:27" x14ac:dyDescent="0.35">
      <c r="A184" t="s">
        <v>403</v>
      </c>
      <c r="B184" t="s">
        <v>404</v>
      </c>
      <c r="C184" s="1">
        <v>45652</v>
      </c>
      <c r="D184">
        <v>28</v>
      </c>
      <c r="E184" t="s">
        <v>14</v>
      </c>
      <c r="F184" t="s">
        <v>32</v>
      </c>
      <c r="G184" t="s">
        <v>26</v>
      </c>
      <c r="H184">
        <v>0</v>
      </c>
      <c r="I184" s="5">
        <v>87725</v>
      </c>
      <c r="J184" t="str" cm="1">
        <f t="array" ref="J184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84">
        <v>809</v>
      </c>
      <c r="L184" t="s">
        <v>17</v>
      </c>
      <c r="M184">
        <v>2</v>
      </c>
      <c r="N184">
        <v>844</v>
      </c>
      <c r="O184" t="str" cm="1">
        <f t="array" ref="O18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4" t="s">
        <v>37</v>
      </c>
      <c r="Q184" s="5">
        <v>35500</v>
      </c>
      <c r="R184">
        <v>36</v>
      </c>
      <c r="S184">
        <v>7</v>
      </c>
      <c r="T184">
        <v>1096.1400000000001</v>
      </c>
      <c r="U184">
        <v>26.5</v>
      </c>
      <c r="V184" t="str" cm="1">
        <f t="array" ref="V18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84" t="s">
        <v>41</v>
      </c>
      <c r="X184">
        <v>0</v>
      </c>
      <c r="Y184">
        <v>0</v>
      </c>
      <c r="Z184" s="5">
        <f>IF(Merge1[[#This Row],[loan_applications.defaulted]]=0,Merge1[[#This Row],[loan_applications.loan_amount]]*(Merge1[[#This Row],[loan_applications.interest_rate]]/100)*(Merge1[[#This Row],[loan_applications.term_months]]/12),0)</f>
        <v>7455.0000000000018</v>
      </c>
      <c r="AA184" s="5">
        <f>IF(Merge1[[#This Row],[loan_applications.defaulted]]=1,Merge1[[#This Row],[loan_applications.loan_amount]],0)</f>
        <v>0</v>
      </c>
    </row>
    <row r="185" spans="1:27" x14ac:dyDescent="0.35">
      <c r="A185" t="s">
        <v>405</v>
      </c>
      <c r="B185" t="s">
        <v>406</v>
      </c>
      <c r="C185" s="1">
        <v>45450</v>
      </c>
      <c r="D185">
        <v>46</v>
      </c>
      <c r="E185" t="s">
        <v>79</v>
      </c>
      <c r="F185" t="s">
        <v>15</v>
      </c>
      <c r="G185" t="s">
        <v>26</v>
      </c>
      <c r="H185">
        <v>25</v>
      </c>
      <c r="I185" s="5">
        <v>46788</v>
      </c>
      <c r="J185" t="str" cm="1">
        <f t="array" ref="J18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5">
        <v>849</v>
      </c>
      <c r="L185" t="s">
        <v>17</v>
      </c>
      <c r="M185">
        <v>1</v>
      </c>
      <c r="N185">
        <v>995</v>
      </c>
      <c r="O185" t="str" cm="1">
        <f t="array" ref="O18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5" t="s">
        <v>20</v>
      </c>
      <c r="Q185" s="5">
        <v>34400</v>
      </c>
      <c r="R185">
        <v>24</v>
      </c>
      <c r="S185">
        <v>6.36</v>
      </c>
      <c r="T185">
        <v>1530.22</v>
      </c>
      <c r="U185">
        <v>64.8</v>
      </c>
      <c r="V185" t="str" cm="1">
        <f t="array" ref="V18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85" t="s">
        <v>21</v>
      </c>
      <c r="X185">
        <v>0</v>
      </c>
      <c r="Y185">
        <v>0</v>
      </c>
      <c r="Z185" s="5">
        <f>IF(Merge1[[#This Row],[loan_applications.defaulted]]=0,Merge1[[#This Row],[loan_applications.loan_amount]]*(Merge1[[#This Row],[loan_applications.interest_rate]]/100)*(Merge1[[#This Row],[loan_applications.term_months]]/12),0)</f>
        <v>4375.68</v>
      </c>
      <c r="AA185" s="5">
        <f>IF(Merge1[[#This Row],[loan_applications.defaulted]]=1,Merge1[[#This Row],[loan_applications.loan_amount]],0)</f>
        <v>0</v>
      </c>
    </row>
    <row r="186" spans="1:27" x14ac:dyDescent="0.35">
      <c r="A186" t="s">
        <v>407</v>
      </c>
      <c r="B186" t="s">
        <v>408</v>
      </c>
      <c r="C186" s="1">
        <v>45370</v>
      </c>
      <c r="D186">
        <v>65</v>
      </c>
      <c r="E186" t="s">
        <v>383</v>
      </c>
      <c r="F186" t="s">
        <v>62</v>
      </c>
      <c r="G186" t="s">
        <v>75</v>
      </c>
      <c r="H186">
        <v>14</v>
      </c>
      <c r="I186" s="5">
        <v>64193</v>
      </c>
      <c r="J186" t="str" cm="1">
        <f t="array" ref="J18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6">
        <v>764</v>
      </c>
      <c r="L186" t="s">
        <v>34</v>
      </c>
      <c r="M186">
        <v>4</v>
      </c>
      <c r="N186">
        <v>2365</v>
      </c>
      <c r="O186" t="str" cm="1">
        <f t="array" ref="O18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6" t="s">
        <v>30</v>
      </c>
      <c r="Q186" s="5">
        <v>36200</v>
      </c>
      <c r="R186">
        <v>12</v>
      </c>
      <c r="S186">
        <v>9.35</v>
      </c>
      <c r="T186">
        <v>3171.62</v>
      </c>
      <c r="U186">
        <v>103.5</v>
      </c>
      <c r="V186" t="str" cm="1">
        <f t="array" ref="V18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86" t="s">
        <v>24</v>
      </c>
      <c r="X186">
        <v>63</v>
      </c>
      <c r="Y186">
        <v>1</v>
      </c>
      <c r="Z18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86" s="5">
        <f>IF(Merge1[[#This Row],[loan_applications.defaulted]]=1,Merge1[[#This Row],[loan_applications.loan_amount]],0)</f>
        <v>36200</v>
      </c>
    </row>
    <row r="187" spans="1:27" x14ac:dyDescent="0.35">
      <c r="A187" t="s">
        <v>409</v>
      </c>
      <c r="B187" t="s">
        <v>410</v>
      </c>
      <c r="C187" s="1">
        <v>45827</v>
      </c>
      <c r="D187">
        <v>34</v>
      </c>
      <c r="E187" t="s">
        <v>67</v>
      </c>
      <c r="F187" t="s">
        <v>32</v>
      </c>
      <c r="G187" t="s">
        <v>75</v>
      </c>
      <c r="H187">
        <v>12</v>
      </c>
      <c r="I187" s="5">
        <v>62044</v>
      </c>
      <c r="J187" t="str" cm="1">
        <f t="array" ref="J18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7">
        <v>771</v>
      </c>
      <c r="L187" t="s">
        <v>34</v>
      </c>
      <c r="M187">
        <v>1</v>
      </c>
      <c r="N187">
        <v>1340</v>
      </c>
      <c r="O187" t="str" cm="1">
        <f t="array" ref="O18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7" t="s">
        <v>20</v>
      </c>
      <c r="Q187" s="5">
        <v>31400</v>
      </c>
      <c r="R187">
        <v>24</v>
      </c>
      <c r="S187">
        <v>11.24</v>
      </c>
      <c r="T187">
        <v>1466.99</v>
      </c>
      <c r="U187">
        <v>54.3</v>
      </c>
      <c r="V187" t="str" cm="1">
        <f t="array" ref="V18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87" t="s">
        <v>21</v>
      </c>
      <c r="X187">
        <v>0</v>
      </c>
      <c r="Y187">
        <v>0</v>
      </c>
      <c r="Z187" s="5">
        <f>IF(Merge1[[#This Row],[loan_applications.defaulted]]=0,Merge1[[#This Row],[loan_applications.loan_amount]]*(Merge1[[#This Row],[loan_applications.interest_rate]]/100)*(Merge1[[#This Row],[loan_applications.term_months]]/12),0)</f>
        <v>7058.72</v>
      </c>
      <c r="AA187" s="5">
        <f>IF(Merge1[[#This Row],[loan_applications.defaulted]]=1,Merge1[[#This Row],[loan_applications.loan_amount]],0)</f>
        <v>0</v>
      </c>
    </row>
    <row r="188" spans="1:27" x14ac:dyDescent="0.35">
      <c r="A188" t="s">
        <v>411</v>
      </c>
      <c r="B188" t="s">
        <v>410</v>
      </c>
      <c r="C188" s="1">
        <v>45437</v>
      </c>
      <c r="D188">
        <v>34</v>
      </c>
      <c r="E188" t="s">
        <v>67</v>
      </c>
      <c r="F188" t="s">
        <v>32</v>
      </c>
      <c r="G188" t="s">
        <v>75</v>
      </c>
      <c r="H188">
        <v>12</v>
      </c>
      <c r="I188" s="5">
        <v>62044</v>
      </c>
      <c r="J188" t="str" cm="1">
        <f t="array" ref="J18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88">
        <v>771</v>
      </c>
      <c r="L188" t="s">
        <v>34</v>
      </c>
      <c r="M188">
        <v>1</v>
      </c>
      <c r="N188">
        <v>1340</v>
      </c>
      <c r="O188" t="str" cm="1">
        <f t="array" ref="O18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88" t="s">
        <v>60</v>
      </c>
      <c r="Q188" s="5">
        <v>7700</v>
      </c>
      <c r="R188">
        <v>24</v>
      </c>
      <c r="S188">
        <v>11.43</v>
      </c>
      <c r="T188">
        <v>360.42</v>
      </c>
      <c r="U188">
        <v>32.9</v>
      </c>
      <c r="V188" t="str" cm="1">
        <f t="array" ref="V18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88" t="s">
        <v>41</v>
      </c>
      <c r="X188">
        <v>0</v>
      </c>
      <c r="Y188">
        <v>0</v>
      </c>
      <c r="Z188" s="5">
        <f>IF(Merge1[[#This Row],[loan_applications.defaulted]]=0,Merge1[[#This Row],[loan_applications.loan_amount]]*(Merge1[[#This Row],[loan_applications.interest_rate]]/100)*(Merge1[[#This Row],[loan_applications.term_months]]/12),0)</f>
        <v>1760.22</v>
      </c>
      <c r="AA188" s="5">
        <f>IF(Merge1[[#This Row],[loan_applications.defaulted]]=1,Merge1[[#This Row],[loan_applications.loan_amount]],0)</f>
        <v>0</v>
      </c>
    </row>
    <row r="189" spans="1:27" x14ac:dyDescent="0.35">
      <c r="A189" t="s">
        <v>412</v>
      </c>
      <c r="B189" t="s">
        <v>413</v>
      </c>
      <c r="C189" s="1">
        <v>45787</v>
      </c>
      <c r="D189">
        <v>32</v>
      </c>
      <c r="E189" t="s">
        <v>330</v>
      </c>
      <c r="F189" t="s">
        <v>62</v>
      </c>
      <c r="G189" t="s">
        <v>33</v>
      </c>
      <c r="H189">
        <v>0</v>
      </c>
      <c r="I189" s="5">
        <v>66474</v>
      </c>
      <c r="J189" t="str" cm="1">
        <f t="array" ref="J18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89">
        <v>663</v>
      </c>
      <c r="L189" t="s">
        <v>34</v>
      </c>
      <c r="M189">
        <v>1</v>
      </c>
      <c r="N189">
        <v>2864</v>
      </c>
      <c r="O189" t="str" cm="1">
        <f t="array" ref="O18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89" t="s">
        <v>23</v>
      </c>
      <c r="Q189" s="5">
        <v>39600</v>
      </c>
      <c r="R189">
        <v>12</v>
      </c>
      <c r="S189">
        <v>9.0399999999999991</v>
      </c>
      <c r="T189">
        <v>3463.81</v>
      </c>
      <c r="U189">
        <v>114.2</v>
      </c>
      <c r="V189" t="str" cm="1">
        <f t="array" ref="V18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89" t="s">
        <v>41</v>
      </c>
      <c r="X189">
        <v>0</v>
      </c>
      <c r="Y189">
        <v>0</v>
      </c>
      <c r="Z189" s="5">
        <f>IF(Merge1[[#This Row],[loan_applications.defaulted]]=0,Merge1[[#This Row],[loan_applications.loan_amount]]*(Merge1[[#This Row],[loan_applications.interest_rate]]/100)*(Merge1[[#This Row],[loan_applications.term_months]]/12),0)</f>
        <v>3579.8399999999997</v>
      </c>
      <c r="AA189" s="5">
        <f>IF(Merge1[[#This Row],[loan_applications.defaulted]]=1,Merge1[[#This Row],[loan_applications.loan_amount]],0)</f>
        <v>0</v>
      </c>
    </row>
    <row r="190" spans="1:27" x14ac:dyDescent="0.35">
      <c r="A190" t="s">
        <v>414</v>
      </c>
      <c r="B190" t="s">
        <v>413</v>
      </c>
      <c r="C190" s="1">
        <v>45600</v>
      </c>
      <c r="D190">
        <v>32</v>
      </c>
      <c r="E190" t="s">
        <v>330</v>
      </c>
      <c r="F190" t="s">
        <v>62</v>
      </c>
      <c r="G190" t="s">
        <v>33</v>
      </c>
      <c r="H190">
        <v>0</v>
      </c>
      <c r="I190" s="5">
        <v>66474</v>
      </c>
      <c r="J190" t="str" cm="1">
        <f t="array" ref="J19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90">
        <v>663</v>
      </c>
      <c r="L190" t="s">
        <v>34</v>
      </c>
      <c r="M190">
        <v>1</v>
      </c>
      <c r="N190">
        <v>2864</v>
      </c>
      <c r="O190" t="str" cm="1">
        <f t="array" ref="O19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90" t="s">
        <v>30</v>
      </c>
      <c r="Q190" s="5">
        <v>24500</v>
      </c>
      <c r="R190">
        <v>36</v>
      </c>
      <c r="S190">
        <v>9.17</v>
      </c>
      <c r="T190">
        <v>781.03</v>
      </c>
      <c r="U190">
        <v>65.8</v>
      </c>
      <c r="V190" t="str" cm="1">
        <f t="array" ref="V19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90" t="s">
        <v>21</v>
      </c>
      <c r="X190">
        <v>0</v>
      </c>
      <c r="Y190">
        <v>0</v>
      </c>
      <c r="Z190" s="5">
        <f>IF(Merge1[[#This Row],[loan_applications.defaulted]]=0,Merge1[[#This Row],[loan_applications.loan_amount]]*(Merge1[[#This Row],[loan_applications.interest_rate]]/100)*(Merge1[[#This Row],[loan_applications.term_months]]/12),0)</f>
        <v>6739.9500000000007</v>
      </c>
      <c r="AA190" s="5">
        <f>IF(Merge1[[#This Row],[loan_applications.defaulted]]=1,Merge1[[#This Row],[loan_applications.loan_amount]],0)</f>
        <v>0</v>
      </c>
    </row>
    <row r="191" spans="1:27" x14ac:dyDescent="0.35">
      <c r="A191" t="s">
        <v>415</v>
      </c>
      <c r="B191" t="s">
        <v>416</v>
      </c>
      <c r="C191" s="1">
        <v>45441</v>
      </c>
      <c r="D191">
        <v>67</v>
      </c>
      <c r="E191" t="s">
        <v>83</v>
      </c>
      <c r="F191" t="s">
        <v>62</v>
      </c>
      <c r="G191" t="s">
        <v>33</v>
      </c>
      <c r="H191">
        <v>17</v>
      </c>
      <c r="I191" s="5">
        <v>79058</v>
      </c>
      <c r="J191" t="str" cm="1">
        <f t="array" ref="J19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91">
        <v>617</v>
      </c>
      <c r="L191" t="s">
        <v>34</v>
      </c>
      <c r="M191">
        <v>0</v>
      </c>
      <c r="N191">
        <v>1770</v>
      </c>
      <c r="O191" t="str" cm="1">
        <f t="array" ref="O19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91" t="s">
        <v>56</v>
      </c>
      <c r="Q191" s="5">
        <v>11600</v>
      </c>
      <c r="R191">
        <v>36</v>
      </c>
      <c r="S191">
        <v>9.86</v>
      </c>
      <c r="T191">
        <v>373.54</v>
      </c>
      <c r="U191">
        <v>32.5</v>
      </c>
      <c r="V191" t="str" cm="1">
        <f t="array" ref="V19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91" t="s">
        <v>91</v>
      </c>
      <c r="X191">
        <v>15</v>
      </c>
      <c r="Y191">
        <v>0</v>
      </c>
      <c r="Z191" s="5">
        <f>IF(Merge1[[#This Row],[loan_applications.defaulted]]=0,Merge1[[#This Row],[loan_applications.loan_amount]]*(Merge1[[#This Row],[loan_applications.interest_rate]]/100)*(Merge1[[#This Row],[loan_applications.term_months]]/12),0)</f>
        <v>3431.2799999999997</v>
      </c>
      <c r="AA191" s="5">
        <f>IF(Merge1[[#This Row],[loan_applications.defaulted]]=1,Merge1[[#This Row],[loan_applications.loan_amount]],0)</f>
        <v>0</v>
      </c>
    </row>
    <row r="192" spans="1:27" x14ac:dyDescent="0.35">
      <c r="A192" t="s">
        <v>417</v>
      </c>
      <c r="B192" t="s">
        <v>416</v>
      </c>
      <c r="C192" s="1">
        <v>45361</v>
      </c>
      <c r="D192">
        <v>67</v>
      </c>
      <c r="E192" t="s">
        <v>83</v>
      </c>
      <c r="F192" t="s">
        <v>62</v>
      </c>
      <c r="G192" t="s">
        <v>33</v>
      </c>
      <c r="H192">
        <v>17</v>
      </c>
      <c r="I192" s="5">
        <v>79058</v>
      </c>
      <c r="J192" t="str" cm="1">
        <f t="array" ref="J19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92">
        <v>617</v>
      </c>
      <c r="L192" t="s">
        <v>34</v>
      </c>
      <c r="M192">
        <v>0</v>
      </c>
      <c r="N192">
        <v>1770</v>
      </c>
      <c r="O192" t="str" cm="1">
        <f t="array" ref="O19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192" t="s">
        <v>45</v>
      </c>
      <c r="Q192" s="5">
        <v>43000</v>
      </c>
      <c r="R192">
        <v>60</v>
      </c>
      <c r="S192">
        <v>10.93</v>
      </c>
      <c r="T192">
        <v>933.42</v>
      </c>
      <c r="U192">
        <v>41</v>
      </c>
      <c r="V192" t="str" cm="1">
        <f t="array" ref="V19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192" t="s">
        <v>24</v>
      </c>
      <c r="X192">
        <v>178</v>
      </c>
      <c r="Y192">
        <v>1</v>
      </c>
      <c r="Z19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92" s="5">
        <f>IF(Merge1[[#This Row],[loan_applications.defaulted]]=1,Merge1[[#This Row],[loan_applications.loan_amount]],0)</f>
        <v>43000</v>
      </c>
    </row>
    <row r="193" spans="1:27" x14ac:dyDescent="0.35">
      <c r="A193" t="s">
        <v>418</v>
      </c>
      <c r="B193" t="s">
        <v>419</v>
      </c>
      <c r="C193" s="1">
        <v>45296</v>
      </c>
      <c r="D193">
        <v>36</v>
      </c>
      <c r="E193" t="s">
        <v>139</v>
      </c>
      <c r="F193" t="s">
        <v>62</v>
      </c>
      <c r="G193" t="s">
        <v>33</v>
      </c>
      <c r="H193">
        <v>1</v>
      </c>
      <c r="I193" s="5">
        <v>134434</v>
      </c>
      <c r="J193" t="str" cm="1">
        <f t="array" ref="J19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93">
        <v>762</v>
      </c>
      <c r="L193" t="s">
        <v>34</v>
      </c>
      <c r="M193">
        <v>0</v>
      </c>
      <c r="N193">
        <v>6130</v>
      </c>
      <c r="O193" t="str" cm="1">
        <f t="array" ref="O19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93" t="s">
        <v>30</v>
      </c>
      <c r="Q193" s="5">
        <v>11200</v>
      </c>
      <c r="R193">
        <v>36</v>
      </c>
      <c r="S193">
        <v>8.16</v>
      </c>
      <c r="T193">
        <v>351.79</v>
      </c>
      <c r="U193">
        <v>57.9</v>
      </c>
      <c r="V193" t="str" cm="1">
        <f t="array" ref="V19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93" t="s">
        <v>41</v>
      </c>
      <c r="X193">
        <v>0</v>
      </c>
      <c r="Y193">
        <v>0</v>
      </c>
      <c r="Z193" s="5">
        <f>IF(Merge1[[#This Row],[loan_applications.defaulted]]=0,Merge1[[#This Row],[loan_applications.loan_amount]]*(Merge1[[#This Row],[loan_applications.interest_rate]]/100)*(Merge1[[#This Row],[loan_applications.term_months]]/12),0)</f>
        <v>2741.76</v>
      </c>
      <c r="AA193" s="5">
        <f>IF(Merge1[[#This Row],[loan_applications.defaulted]]=1,Merge1[[#This Row],[loan_applications.loan_amount]],0)</f>
        <v>0</v>
      </c>
    </row>
    <row r="194" spans="1:27" x14ac:dyDescent="0.35">
      <c r="A194" t="s">
        <v>420</v>
      </c>
      <c r="B194" t="s">
        <v>421</v>
      </c>
      <c r="C194" s="1">
        <v>45401</v>
      </c>
      <c r="D194">
        <v>45</v>
      </c>
      <c r="E194" t="s">
        <v>38</v>
      </c>
      <c r="F194" t="s">
        <v>68</v>
      </c>
      <c r="G194" t="s">
        <v>26</v>
      </c>
      <c r="H194">
        <v>25</v>
      </c>
      <c r="I194" s="5">
        <v>33977</v>
      </c>
      <c r="J194" t="str" cm="1">
        <f t="array" ref="J19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94">
        <v>696</v>
      </c>
      <c r="L194" t="s">
        <v>27</v>
      </c>
      <c r="M194">
        <v>0</v>
      </c>
      <c r="N194">
        <v>1316</v>
      </c>
      <c r="O194" t="str" cm="1">
        <f t="array" ref="O19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94" t="s">
        <v>20</v>
      </c>
      <c r="Q194" s="5">
        <v>15600</v>
      </c>
      <c r="R194">
        <v>48</v>
      </c>
      <c r="S194">
        <v>11.77</v>
      </c>
      <c r="T194">
        <v>409.05</v>
      </c>
      <c r="U194">
        <v>60.9</v>
      </c>
      <c r="V194" t="str" cm="1">
        <f t="array" ref="V19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94" t="s">
        <v>24</v>
      </c>
      <c r="X194">
        <v>120</v>
      </c>
      <c r="Y194">
        <v>1</v>
      </c>
      <c r="Z19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94" s="5">
        <f>IF(Merge1[[#This Row],[loan_applications.defaulted]]=1,Merge1[[#This Row],[loan_applications.loan_amount]],0)</f>
        <v>15600</v>
      </c>
    </row>
    <row r="195" spans="1:27" x14ac:dyDescent="0.35">
      <c r="A195" t="s">
        <v>422</v>
      </c>
      <c r="B195" t="s">
        <v>423</v>
      </c>
      <c r="C195" s="1">
        <v>45613</v>
      </c>
      <c r="D195">
        <v>66</v>
      </c>
      <c r="E195" t="s">
        <v>86</v>
      </c>
      <c r="F195" t="s">
        <v>62</v>
      </c>
      <c r="G195" t="s">
        <v>16</v>
      </c>
      <c r="H195">
        <v>0</v>
      </c>
      <c r="I195" s="5">
        <v>94849</v>
      </c>
      <c r="J195" t="str" cm="1">
        <f t="array" ref="J195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95">
        <v>850</v>
      </c>
      <c r="L195" t="s">
        <v>17</v>
      </c>
      <c r="M195">
        <v>0</v>
      </c>
      <c r="N195">
        <v>3695</v>
      </c>
      <c r="O195" t="str" cm="1">
        <f t="array" ref="O19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95" t="s">
        <v>23</v>
      </c>
      <c r="Q195" s="5">
        <v>12900</v>
      </c>
      <c r="R195">
        <v>12</v>
      </c>
      <c r="S195">
        <v>9.64</v>
      </c>
      <c r="T195">
        <v>1131.96</v>
      </c>
      <c r="U195">
        <v>61.1</v>
      </c>
      <c r="V195" t="str" cm="1">
        <f t="array" ref="V19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95" t="s">
        <v>24</v>
      </c>
      <c r="X195">
        <v>58</v>
      </c>
      <c r="Y195">
        <v>1</v>
      </c>
      <c r="Z19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95" s="5">
        <f>IF(Merge1[[#This Row],[loan_applications.defaulted]]=1,Merge1[[#This Row],[loan_applications.loan_amount]],0)</f>
        <v>12900</v>
      </c>
    </row>
    <row r="196" spans="1:27" x14ac:dyDescent="0.35">
      <c r="A196" t="s">
        <v>424</v>
      </c>
      <c r="B196" t="s">
        <v>423</v>
      </c>
      <c r="C196" s="1">
        <v>45333</v>
      </c>
      <c r="D196">
        <v>66</v>
      </c>
      <c r="E196" t="s">
        <v>86</v>
      </c>
      <c r="F196" t="s">
        <v>62</v>
      </c>
      <c r="G196" t="s">
        <v>16</v>
      </c>
      <c r="H196">
        <v>0</v>
      </c>
      <c r="I196" s="5">
        <v>94849</v>
      </c>
      <c r="J196" t="str" cm="1">
        <f t="array" ref="J19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196">
        <v>850</v>
      </c>
      <c r="L196" t="s">
        <v>17</v>
      </c>
      <c r="M196">
        <v>0</v>
      </c>
      <c r="N196">
        <v>3695</v>
      </c>
      <c r="O196" t="str" cm="1">
        <f t="array" ref="O19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96" t="s">
        <v>30</v>
      </c>
      <c r="Q196" s="5">
        <v>34000</v>
      </c>
      <c r="R196">
        <v>36</v>
      </c>
      <c r="S196">
        <v>8.6199999999999992</v>
      </c>
      <c r="T196">
        <v>1075.19</v>
      </c>
      <c r="U196">
        <v>60.4</v>
      </c>
      <c r="V196" t="str" cm="1">
        <f t="array" ref="V19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196" t="s">
        <v>24</v>
      </c>
      <c r="X196">
        <v>156</v>
      </c>
      <c r="Y196">
        <v>1</v>
      </c>
      <c r="Z19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96" s="5">
        <f>IF(Merge1[[#This Row],[loan_applications.defaulted]]=1,Merge1[[#This Row],[loan_applications.loan_amount]],0)</f>
        <v>34000</v>
      </c>
    </row>
    <row r="197" spans="1:27" x14ac:dyDescent="0.35">
      <c r="A197" t="s">
        <v>425</v>
      </c>
      <c r="B197" t="s">
        <v>426</v>
      </c>
      <c r="C197" s="1">
        <v>45709</v>
      </c>
      <c r="D197">
        <v>57</v>
      </c>
      <c r="E197" t="s">
        <v>38</v>
      </c>
      <c r="F197" t="s">
        <v>62</v>
      </c>
      <c r="G197" t="s">
        <v>63</v>
      </c>
      <c r="H197">
        <v>15</v>
      </c>
      <c r="I197" s="5">
        <v>50003</v>
      </c>
      <c r="J197" t="str" cm="1">
        <f t="array" ref="J19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97">
        <v>677</v>
      </c>
      <c r="L197" t="s">
        <v>34</v>
      </c>
      <c r="M197">
        <v>0</v>
      </c>
      <c r="N197">
        <v>1539</v>
      </c>
      <c r="O197" t="str" cm="1">
        <f t="array" ref="O19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197" t="s">
        <v>37</v>
      </c>
      <c r="Q197" s="5">
        <v>31800</v>
      </c>
      <c r="R197">
        <v>48</v>
      </c>
      <c r="S197">
        <v>9.85</v>
      </c>
      <c r="T197">
        <v>804.24</v>
      </c>
      <c r="U197">
        <v>56.2</v>
      </c>
      <c r="V197" t="str" cm="1">
        <f t="array" ref="V19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97" t="s">
        <v>24</v>
      </c>
      <c r="X197">
        <v>139</v>
      </c>
      <c r="Y197">
        <v>1</v>
      </c>
      <c r="Z19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97" s="5">
        <f>IF(Merge1[[#This Row],[loan_applications.defaulted]]=1,Merge1[[#This Row],[loan_applications.loan_amount]],0)</f>
        <v>31800</v>
      </c>
    </row>
    <row r="198" spans="1:27" x14ac:dyDescent="0.35">
      <c r="A198" t="s">
        <v>427</v>
      </c>
      <c r="B198" t="s">
        <v>428</v>
      </c>
      <c r="C198" s="1">
        <v>45795</v>
      </c>
      <c r="D198">
        <v>61</v>
      </c>
      <c r="E198" t="s">
        <v>83</v>
      </c>
      <c r="F198" t="s">
        <v>32</v>
      </c>
      <c r="G198" t="s">
        <v>26</v>
      </c>
      <c r="H198">
        <v>34</v>
      </c>
      <c r="I198" s="5">
        <v>98348</v>
      </c>
      <c r="J198" t="str" cm="1">
        <f t="array" ref="J19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198">
        <v>845</v>
      </c>
      <c r="L198" t="s">
        <v>27</v>
      </c>
      <c r="M198">
        <v>2</v>
      </c>
      <c r="N198">
        <v>3354</v>
      </c>
      <c r="O198" t="str" cm="1">
        <f t="array" ref="O19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198" t="s">
        <v>54</v>
      </c>
      <c r="Q198" s="5">
        <v>40500</v>
      </c>
      <c r="R198">
        <v>36</v>
      </c>
      <c r="S198">
        <v>6.81</v>
      </c>
      <c r="T198">
        <v>1247.01</v>
      </c>
      <c r="U198">
        <v>56.1</v>
      </c>
      <c r="V198" t="str" cm="1">
        <f t="array" ref="V19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198" t="s">
        <v>41</v>
      </c>
      <c r="X198">
        <v>0</v>
      </c>
      <c r="Y198">
        <v>0</v>
      </c>
      <c r="Z198" s="5">
        <f>IF(Merge1[[#This Row],[loan_applications.defaulted]]=0,Merge1[[#This Row],[loan_applications.loan_amount]]*(Merge1[[#This Row],[loan_applications.interest_rate]]/100)*(Merge1[[#This Row],[loan_applications.term_months]]/12),0)</f>
        <v>8274.15</v>
      </c>
      <c r="AA198" s="5">
        <f>IF(Merge1[[#This Row],[loan_applications.defaulted]]=1,Merge1[[#This Row],[loan_applications.loan_amount]],0)</f>
        <v>0</v>
      </c>
    </row>
    <row r="199" spans="1:27" x14ac:dyDescent="0.35">
      <c r="A199" t="s">
        <v>429</v>
      </c>
      <c r="B199" t="s">
        <v>430</v>
      </c>
      <c r="C199" s="1">
        <v>45464</v>
      </c>
      <c r="D199">
        <v>40</v>
      </c>
      <c r="E199" t="s">
        <v>42</v>
      </c>
      <c r="F199" t="s">
        <v>32</v>
      </c>
      <c r="G199" t="s">
        <v>63</v>
      </c>
      <c r="H199">
        <v>5</v>
      </c>
      <c r="I199" s="5">
        <v>30770</v>
      </c>
      <c r="J199" t="str" cm="1">
        <f t="array" ref="J19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199">
        <v>738</v>
      </c>
      <c r="L199" t="s">
        <v>17</v>
      </c>
      <c r="M199">
        <v>1</v>
      </c>
      <c r="N199">
        <v>590</v>
      </c>
      <c r="O199" t="str" cm="1">
        <f t="array" ref="O19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199" t="s">
        <v>54</v>
      </c>
      <c r="Q199" s="5">
        <v>7000</v>
      </c>
      <c r="R199">
        <v>60</v>
      </c>
      <c r="S199">
        <v>12.59</v>
      </c>
      <c r="T199">
        <v>157.81</v>
      </c>
      <c r="U199">
        <v>29.2</v>
      </c>
      <c r="V199" t="str" cm="1">
        <f t="array" ref="V19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199" t="s">
        <v>24</v>
      </c>
      <c r="X199">
        <v>80</v>
      </c>
      <c r="Y199">
        <v>1</v>
      </c>
      <c r="Z19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199" s="5">
        <f>IF(Merge1[[#This Row],[loan_applications.defaulted]]=1,Merge1[[#This Row],[loan_applications.loan_amount]],0)</f>
        <v>7000</v>
      </c>
    </row>
    <row r="200" spans="1:27" x14ac:dyDescent="0.35">
      <c r="A200" t="s">
        <v>431</v>
      </c>
      <c r="B200" t="s">
        <v>432</v>
      </c>
      <c r="C200" s="1">
        <v>45803</v>
      </c>
      <c r="D200">
        <v>55</v>
      </c>
      <c r="E200" t="s">
        <v>38</v>
      </c>
      <c r="F200" t="s">
        <v>32</v>
      </c>
      <c r="G200" t="s">
        <v>16</v>
      </c>
      <c r="H200">
        <v>24</v>
      </c>
      <c r="I200" s="5">
        <v>72986</v>
      </c>
      <c r="J200" t="str" cm="1">
        <f t="array" ref="J20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0">
        <v>545</v>
      </c>
      <c r="L200" t="s">
        <v>17</v>
      </c>
      <c r="M200">
        <v>2</v>
      </c>
      <c r="N200">
        <v>3287</v>
      </c>
      <c r="O200" t="str" cm="1">
        <f t="array" ref="O20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00" t="s">
        <v>71</v>
      </c>
      <c r="Q200" s="5">
        <v>21400</v>
      </c>
      <c r="R200">
        <v>24</v>
      </c>
      <c r="S200">
        <v>15.11</v>
      </c>
      <c r="T200">
        <v>1038.73</v>
      </c>
      <c r="U200">
        <v>71.099999999999994</v>
      </c>
      <c r="V200" t="str" cm="1">
        <f t="array" ref="V20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00" t="s">
        <v>24</v>
      </c>
      <c r="X200">
        <v>178</v>
      </c>
      <c r="Y200">
        <v>1</v>
      </c>
      <c r="Z20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00" s="5">
        <f>IF(Merge1[[#This Row],[loan_applications.defaulted]]=1,Merge1[[#This Row],[loan_applications.loan_amount]],0)</f>
        <v>21400</v>
      </c>
    </row>
    <row r="201" spans="1:27" x14ac:dyDescent="0.35">
      <c r="A201" t="s">
        <v>433</v>
      </c>
      <c r="B201" t="s">
        <v>434</v>
      </c>
      <c r="C201" s="1">
        <v>45815</v>
      </c>
      <c r="D201">
        <v>38</v>
      </c>
      <c r="E201" t="s">
        <v>79</v>
      </c>
      <c r="F201" t="s">
        <v>62</v>
      </c>
      <c r="G201" t="s">
        <v>26</v>
      </c>
      <c r="H201">
        <v>3</v>
      </c>
      <c r="I201" s="5">
        <v>60396</v>
      </c>
      <c r="J201" t="str" cm="1">
        <f t="array" ref="J20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01">
        <v>658</v>
      </c>
      <c r="L201" t="s">
        <v>17</v>
      </c>
      <c r="M201">
        <v>2</v>
      </c>
      <c r="N201">
        <v>587</v>
      </c>
      <c r="O201" t="str" cm="1">
        <f t="array" ref="O20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01" t="s">
        <v>23</v>
      </c>
      <c r="Q201" s="5">
        <v>30000</v>
      </c>
      <c r="R201">
        <v>48</v>
      </c>
      <c r="S201">
        <v>13.97</v>
      </c>
      <c r="T201">
        <v>819.34</v>
      </c>
      <c r="U201">
        <v>27.9</v>
      </c>
      <c r="V201" t="str" cm="1">
        <f t="array" ref="V20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01" t="s">
        <v>41</v>
      </c>
      <c r="X201">
        <v>0</v>
      </c>
      <c r="Y201">
        <v>0</v>
      </c>
      <c r="Z201" s="5">
        <f>IF(Merge1[[#This Row],[loan_applications.defaulted]]=0,Merge1[[#This Row],[loan_applications.loan_amount]]*(Merge1[[#This Row],[loan_applications.interest_rate]]/100)*(Merge1[[#This Row],[loan_applications.term_months]]/12),0)</f>
        <v>16764.000000000004</v>
      </c>
      <c r="AA201" s="5">
        <f>IF(Merge1[[#This Row],[loan_applications.defaulted]]=1,Merge1[[#This Row],[loan_applications.loan_amount]],0)</f>
        <v>0</v>
      </c>
    </row>
    <row r="202" spans="1:27" x14ac:dyDescent="0.35">
      <c r="A202" t="s">
        <v>435</v>
      </c>
      <c r="B202" t="s">
        <v>436</v>
      </c>
      <c r="C202" s="1">
        <v>45346</v>
      </c>
      <c r="D202">
        <v>44</v>
      </c>
      <c r="E202" t="s">
        <v>203</v>
      </c>
      <c r="F202" t="s">
        <v>32</v>
      </c>
      <c r="G202" t="s">
        <v>33</v>
      </c>
      <c r="H202">
        <v>22</v>
      </c>
      <c r="I202" s="5">
        <v>51770</v>
      </c>
      <c r="J202" t="str" cm="1">
        <f t="array" ref="J20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2">
        <v>767</v>
      </c>
      <c r="L202" t="s">
        <v>34</v>
      </c>
      <c r="M202">
        <v>3</v>
      </c>
      <c r="N202">
        <v>351</v>
      </c>
      <c r="O202" t="str" cm="1">
        <f t="array" ref="O20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02" t="s">
        <v>20</v>
      </c>
      <c r="Q202" s="5">
        <v>28300</v>
      </c>
      <c r="R202">
        <v>12</v>
      </c>
      <c r="S202">
        <v>7.71</v>
      </c>
      <c r="T202">
        <v>2457.98</v>
      </c>
      <c r="U202">
        <v>65.099999999999994</v>
      </c>
      <c r="V202" t="str" cm="1">
        <f t="array" ref="V20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02" t="s">
        <v>41</v>
      </c>
      <c r="X202">
        <v>0</v>
      </c>
      <c r="Y202">
        <v>0</v>
      </c>
      <c r="Z202" s="5">
        <f>IF(Merge1[[#This Row],[loan_applications.defaulted]]=0,Merge1[[#This Row],[loan_applications.loan_amount]]*(Merge1[[#This Row],[loan_applications.interest_rate]]/100)*(Merge1[[#This Row],[loan_applications.term_months]]/12),0)</f>
        <v>2181.9299999999998</v>
      </c>
      <c r="AA202" s="5">
        <f>IF(Merge1[[#This Row],[loan_applications.defaulted]]=1,Merge1[[#This Row],[loan_applications.loan_amount]],0)</f>
        <v>0</v>
      </c>
    </row>
    <row r="203" spans="1:27" x14ac:dyDescent="0.35">
      <c r="A203" t="s">
        <v>437</v>
      </c>
      <c r="B203" t="s">
        <v>438</v>
      </c>
      <c r="C203" s="1">
        <v>45370</v>
      </c>
      <c r="D203">
        <v>51</v>
      </c>
      <c r="E203" t="s">
        <v>83</v>
      </c>
      <c r="F203" t="s">
        <v>15</v>
      </c>
      <c r="G203" t="s">
        <v>26</v>
      </c>
      <c r="H203">
        <v>20</v>
      </c>
      <c r="I203" s="5">
        <v>50247</v>
      </c>
      <c r="J203" t="str" cm="1">
        <f t="array" ref="J20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3">
        <v>551</v>
      </c>
      <c r="L203" t="s">
        <v>17</v>
      </c>
      <c r="M203">
        <v>1</v>
      </c>
      <c r="N203">
        <v>1916</v>
      </c>
      <c r="O203" t="str" cm="1">
        <f t="array" ref="O20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03" t="s">
        <v>71</v>
      </c>
      <c r="Q203" s="5">
        <v>9300</v>
      </c>
      <c r="R203">
        <v>60</v>
      </c>
      <c r="S203">
        <v>13.93</v>
      </c>
      <c r="T203">
        <v>216.06</v>
      </c>
      <c r="U203">
        <v>50.9</v>
      </c>
      <c r="V203" t="str" cm="1">
        <f t="array" ref="V20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03" t="s">
        <v>41</v>
      </c>
      <c r="X203">
        <v>0</v>
      </c>
      <c r="Y203">
        <v>0</v>
      </c>
      <c r="Z203" s="5">
        <f>IF(Merge1[[#This Row],[loan_applications.defaulted]]=0,Merge1[[#This Row],[loan_applications.loan_amount]]*(Merge1[[#This Row],[loan_applications.interest_rate]]/100)*(Merge1[[#This Row],[loan_applications.term_months]]/12),0)</f>
        <v>6477.45</v>
      </c>
      <c r="AA203" s="5">
        <f>IF(Merge1[[#This Row],[loan_applications.defaulted]]=1,Merge1[[#This Row],[loan_applications.loan_amount]],0)</f>
        <v>0</v>
      </c>
    </row>
    <row r="204" spans="1:27" x14ac:dyDescent="0.35">
      <c r="A204" t="s">
        <v>439</v>
      </c>
      <c r="B204" t="s">
        <v>440</v>
      </c>
      <c r="C204" s="1">
        <v>45310</v>
      </c>
      <c r="D204">
        <v>52</v>
      </c>
      <c r="E204" t="s">
        <v>118</v>
      </c>
      <c r="F204" t="s">
        <v>68</v>
      </c>
      <c r="G204" t="s">
        <v>16</v>
      </c>
      <c r="H204">
        <v>3</v>
      </c>
      <c r="I204" s="5">
        <v>38228</v>
      </c>
      <c r="J204" t="str" cm="1">
        <f t="array" ref="J20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04">
        <v>707</v>
      </c>
      <c r="L204" t="s">
        <v>17</v>
      </c>
      <c r="M204">
        <v>0</v>
      </c>
      <c r="N204">
        <v>1432</v>
      </c>
      <c r="O204" t="str" cm="1">
        <f t="array" ref="O20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04" t="s">
        <v>37</v>
      </c>
      <c r="Q204" s="5">
        <v>21500</v>
      </c>
      <c r="R204">
        <v>36</v>
      </c>
      <c r="S204">
        <v>10.93</v>
      </c>
      <c r="T204">
        <v>703.17</v>
      </c>
      <c r="U204">
        <v>67</v>
      </c>
      <c r="V204" t="str" cm="1">
        <f t="array" ref="V20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04" t="s">
        <v>41</v>
      </c>
      <c r="X204">
        <v>0</v>
      </c>
      <c r="Y204">
        <v>0</v>
      </c>
      <c r="Z204" s="5">
        <f>IF(Merge1[[#This Row],[loan_applications.defaulted]]=0,Merge1[[#This Row],[loan_applications.loan_amount]]*(Merge1[[#This Row],[loan_applications.interest_rate]]/100)*(Merge1[[#This Row],[loan_applications.term_months]]/12),0)</f>
        <v>7049.8499999999995</v>
      </c>
      <c r="AA204" s="5">
        <f>IF(Merge1[[#This Row],[loan_applications.defaulted]]=1,Merge1[[#This Row],[loan_applications.loan_amount]],0)</f>
        <v>0</v>
      </c>
    </row>
    <row r="205" spans="1:27" x14ac:dyDescent="0.35">
      <c r="A205" t="s">
        <v>441</v>
      </c>
      <c r="B205" t="s">
        <v>442</v>
      </c>
      <c r="C205" s="1">
        <v>45325</v>
      </c>
      <c r="D205">
        <v>49</v>
      </c>
      <c r="E205" t="s">
        <v>113</v>
      </c>
      <c r="F205" t="s">
        <v>62</v>
      </c>
      <c r="G205" t="s">
        <v>16</v>
      </c>
      <c r="H205">
        <v>10</v>
      </c>
      <c r="I205" s="5">
        <v>131359</v>
      </c>
      <c r="J205" t="str" cm="1">
        <f t="array" ref="J20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05">
        <v>747</v>
      </c>
      <c r="L205" t="s">
        <v>17</v>
      </c>
      <c r="M205">
        <v>2</v>
      </c>
      <c r="N205">
        <v>2557</v>
      </c>
      <c r="O205" t="str" cm="1">
        <f t="array" ref="O20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05" t="s">
        <v>23</v>
      </c>
      <c r="Q205" s="5">
        <v>42900</v>
      </c>
      <c r="R205">
        <v>48</v>
      </c>
      <c r="S205">
        <v>9.85</v>
      </c>
      <c r="T205">
        <v>1084.97</v>
      </c>
      <c r="U205">
        <v>33.299999999999997</v>
      </c>
      <c r="V205" t="str" cm="1">
        <f t="array" ref="V20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05" t="s">
        <v>21</v>
      </c>
      <c r="X205">
        <v>0</v>
      </c>
      <c r="Y205">
        <v>0</v>
      </c>
      <c r="Z205" s="5">
        <f>IF(Merge1[[#This Row],[loan_applications.defaulted]]=0,Merge1[[#This Row],[loan_applications.loan_amount]]*(Merge1[[#This Row],[loan_applications.interest_rate]]/100)*(Merge1[[#This Row],[loan_applications.term_months]]/12),0)</f>
        <v>16902.599999999999</v>
      </c>
      <c r="AA205" s="5">
        <f>IF(Merge1[[#This Row],[loan_applications.defaulted]]=1,Merge1[[#This Row],[loan_applications.loan_amount]],0)</f>
        <v>0</v>
      </c>
    </row>
    <row r="206" spans="1:27" x14ac:dyDescent="0.35">
      <c r="A206" t="s">
        <v>443</v>
      </c>
      <c r="B206" t="s">
        <v>442</v>
      </c>
      <c r="C206" s="1">
        <v>45404</v>
      </c>
      <c r="D206">
        <v>49</v>
      </c>
      <c r="E206" t="s">
        <v>113</v>
      </c>
      <c r="F206" t="s">
        <v>62</v>
      </c>
      <c r="G206" t="s">
        <v>16</v>
      </c>
      <c r="H206">
        <v>10</v>
      </c>
      <c r="I206" s="5">
        <v>131359</v>
      </c>
      <c r="J206" t="str" cm="1">
        <f t="array" ref="J20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06">
        <v>747</v>
      </c>
      <c r="L206" t="s">
        <v>17</v>
      </c>
      <c r="M206">
        <v>2</v>
      </c>
      <c r="N206">
        <v>2557</v>
      </c>
      <c r="O206" t="str" cm="1">
        <f t="array" ref="O20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06" t="s">
        <v>50</v>
      </c>
      <c r="Q206" s="5">
        <v>8500</v>
      </c>
      <c r="R206">
        <v>48</v>
      </c>
      <c r="S206">
        <v>9.99</v>
      </c>
      <c r="T206">
        <v>215.54</v>
      </c>
      <c r="U206">
        <v>25.3</v>
      </c>
      <c r="V206" t="str" cm="1">
        <f t="array" ref="V20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06" t="s">
        <v>41</v>
      </c>
      <c r="X206">
        <v>0</v>
      </c>
      <c r="Y206">
        <v>0</v>
      </c>
      <c r="Z206" s="5">
        <f>IF(Merge1[[#This Row],[loan_applications.defaulted]]=0,Merge1[[#This Row],[loan_applications.loan_amount]]*(Merge1[[#This Row],[loan_applications.interest_rate]]/100)*(Merge1[[#This Row],[loan_applications.term_months]]/12),0)</f>
        <v>3396.6</v>
      </c>
      <c r="AA206" s="5">
        <f>IF(Merge1[[#This Row],[loan_applications.defaulted]]=1,Merge1[[#This Row],[loan_applications.loan_amount]],0)</f>
        <v>0</v>
      </c>
    </row>
    <row r="207" spans="1:27" x14ac:dyDescent="0.35">
      <c r="A207" t="s">
        <v>444</v>
      </c>
      <c r="B207" t="s">
        <v>445</v>
      </c>
      <c r="C207" s="1">
        <v>45561</v>
      </c>
      <c r="D207">
        <v>55</v>
      </c>
      <c r="E207" t="s">
        <v>118</v>
      </c>
      <c r="F207" t="s">
        <v>68</v>
      </c>
      <c r="G207" t="s">
        <v>26</v>
      </c>
      <c r="H207">
        <v>11</v>
      </c>
      <c r="I207" s="5">
        <v>49011</v>
      </c>
      <c r="J207" t="str" cm="1">
        <f t="array" ref="J20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7">
        <v>750</v>
      </c>
      <c r="L207" t="s">
        <v>34</v>
      </c>
      <c r="M207">
        <v>0</v>
      </c>
      <c r="N207">
        <v>873</v>
      </c>
      <c r="O207" t="str" cm="1">
        <f t="array" ref="O20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07" t="s">
        <v>20</v>
      </c>
      <c r="Q207" s="5">
        <v>36800</v>
      </c>
      <c r="R207">
        <v>60</v>
      </c>
      <c r="S207">
        <v>7.78</v>
      </c>
      <c r="T207">
        <v>742.3</v>
      </c>
      <c r="U207">
        <v>39.5</v>
      </c>
      <c r="V207" t="str" cm="1">
        <f t="array" ref="V20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07" t="s">
        <v>91</v>
      </c>
      <c r="X207">
        <v>30</v>
      </c>
      <c r="Y207">
        <v>0</v>
      </c>
      <c r="Z207" s="5">
        <f>IF(Merge1[[#This Row],[loan_applications.defaulted]]=0,Merge1[[#This Row],[loan_applications.loan_amount]]*(Merge1[[#This Row],[loan_applications.interest_rate]]/100)*(Merge1[[#This Row],[loan_applications.term_months]]/12),0)</f>
        <v>14315.200000000003</v>
      </c>
      <c r="AA207" s="5">
        <f>IF(Merge1[[#This Row],[loan_applications.defaulted]]=1,Merge1[[#This Row],[loan_applications.loan_amount]],0)</f>
        <v>0</v>
      </c>
    </row>
    <row r="208" spans="1:27" x14ac:dyDescent="0.35">
      <c r="A208" t="s">
        <v>446</v>
      </c>
      <c r="B208" t="s">
        <v>447</v>
      </c>
      <c r="C208" s="1">
        <v>45667</v>
      </c>
      <c r="D208">
        <v>40</v>
      </c>
      <c r="E208" t="s">
        <v>79</v>
      </c>
      <c r="F208" t="s">
        <v>68</v>
      </c>
      <c r="G208" t="s">
        <v>63</v>
      </c>
      <c r="H208">
        <v>11</v>
      </c>
      <c r="I208" s="5">
        <v>26997</v>
      </c>
      <c r="J208" t="str" cm="1">
        <f t="array" ref="J20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8">
        <v>752</v>
      </c>
      <c r="L208" t="s">
        <v>34</v>
      </c>
      <c r="M208">
        <v>3</v>
      </c>
      <c r="N208">
        <v>509</v>
      </c>
      <c r="O208" t="str" cm="1">
        <f t="array" ref="O20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08" t="s">
        <v>37</v>
      </c>
      <c r="Q208" s="5">
        <v>2500</v>
      </c>
      <c r="R208">
        <v>12</v>
      </c>
      <c r="S208">
        <v>8.11</v>
      </c>
      <c r="T208">
        <v>217.6</v>
      </c>
      <c r="U208">
        <v>32.299999999999997</v>
      </c>
      <c r="V208" t="str" cm="1">
        <f t="array" ref="V20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08" t="s">
        <v>41</v>
      </c>
      <c r="X208">
        <v>0</v>
      </c>
      <c r="Y208">
        <v>0</v>
      </c>
      <c r="Z208" s="5">
        <f>IF(Merge1[[#This Row],[loan_applications.defaulted]]=0,Merge1[[#This Row],[loan_applications.loan_amount]]*(Merge1[[#This Row],[loan_applications.interest_rate]]/100)*(Merge1[[#This Row],[loan_applications.term_months]]/12),0)</f>
        <v>202.74999999999997</v>
      </c>
      <c r="AA208" s="5">
        <f>IF(Merge1[[#This Row],[loan_applications.defaulted]]=1,Merge1[[#This Row],[loan_applications.loan_amount]],0)</f>
        <v>0</v>
      </c>
    </row>
    <row r="209" spans="1:27" x14ac:dyDescent="0.35">
      <c r="A209" t="s">
        <v>448</v>
      </c>
      <c r="B209" t="s">
        <v>449</v>
      </c>
      <c r="C209" s="1">
        <v>45349</v>
      </c>
      <c r="D209">
        <v>49</v>
      </c>
      <c r="E209" t="s">
        <v>139</v>
      </c>
      <c r="F209" t="s">
        <v>68</v>
      </c>
      <c r="G209" t="s">
        <v>75</v>
      </c>
      <c r="H209">
        <v>21</v>
      </c>
      <c r="I209" s="5">
        <v>43915</v>
      </c>
      <c r="J209" t="str" cm="1">
        <f t="array" ref="J20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09">
        <v>568</v>
      </c>
      <c r="L209" t="s">
        <v>34</v>
      </c>
      <c r="M209">
        <v>1</v>
      </c>
      <c r="N209">
        <v>1555</v>
      </c>
      <c r="O209" t="str" cm="1">
        <f t="array" ref="O20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09" t="s">
        <v>45</v>
      </c>
      <c r="Q209" s="5">
        <v>15400</v>
      </c>
      <c r="R209">
        <v>36</v>
      </c>
      <c r="S209">
        <v>12.59</v>
      </c>
      <c r="T209">
        <v>515.85</v>
      </c>
      <c r="U209">
        <v>56.6</v>
      </c>
      <c r="V209" t="str" cm="1">
        <f t="array" ref="V20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09" t="s">
        <v>91</v>
      </c>
      <c r="X209">
        <v>0</v>
      </c>
      <c r="Y209">
        <v>0</v>
      </c>
      <c r="Z209" s="5">
        <f>IF(Merge1[[#This Row],[loan_applications.defaulted]]=0,Merge1[[#This Row],[loan_applications.loan_amount]]*(Merge1[[#This Row],[loan_applications.interest_rate]]/100)*(Merge1[[#This Row],[loan_applications.term_months]]/12),0)</f>
        <v>5816.58</v>
      </c>
      <c r="AA209" s="5">
        <f>IF(Merge1[[#This Row],[loan_applications.defaulted]]=1,Merge1[[#This Row],[loan_applications.loan_amount]],0)</f>
        <v>0</v>
      </c>
    </row>
    <row r="210" spans="1:27" x14ac:dyDescent="0.35">
      <c r="A210" t="s">
        <v>450</v>
      </c>
      <c r="B210" t="s">
        <v>449</v>
      </c>
      <c r="C210" s="1">
        <v>45465</v>
      </c>
      <c r="D210">
        <v>49</v>
      </c>
      <c r="E210" t="s">
        <v>139</v>
      </c>
      <c r="F210" t="s">
        <v>68</v>
      </c>
      <c r="G210" t="s">
        <v>75</v>
      </c>
      <c r="H210">
        <v>21</v>
      </c>
      <c r="I210" s="5">
        <v>43915</v>
      </c>
      <c r="J210" t="str" cm="1">
        <f t="array" ref="J21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10">
        <v>568</v>
      </c>
      <c r="L210" t="s">
        <v>34</v>
      </c>
      <c r="M210">
        <v>1</v>
      </c>
      <c r="N210">
        <v>1555</v>
      </c>
      <c r="O210" t="str" cm="1">
        <f t="array" ref="O21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10" t="s">
        <v>71</v>
      </c>
      <c r="Q210" s="5">
        <v>12800</v>
      </c>
      <c r="R210">
        <v>36</v>
      </c>
      <c r="S210">
        <v>11.11</v>
      </c>
      <c r="T210">
        <v>419.72</v>
      </c>
      <c r="U210">
        <v>54</v>
      </c>
      <c r="V210" t="str" cm="1">
        <f t="array" ref="V21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10" t="s">
        <v>24</v>
      </c>
      <c r="X210">
        <v>113</v>
      </c>
      <c r="Y210">
        <v>1</v>
      </c>
      <c r="Z21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10" s="5">
        <f>IF(Merge1[[#This Row],[loan_applications.defaulted]]=1,Merge1[[#This Row],[loan_applications.loan_amount]],0)</f>
        <v>12800</v>
      </c>
    </row>
    <row r="211" spans="1:27" x14ac:dyDescent="0.35">
      <c r="A211" t="s">
        <v>451</v>
      </c>
      <c r="B211" t="s">
        <v>452</v>
      </c>
      <c r="C211" s="1">
        <v>45772</v>
      </c>
      <c r="D211">
        <v>32</v>
      </c>
      <c r="E211" t="s">
        <v>51</v>
      </c>
      <c r="F211" t="s">
        <v>47</v>
      </c>
      <c r="G211" t="s">
        <v>26</v>
      </c>
      <c r="H211">
        <v>0</v>
      </c>
      <c r="I211" s="5">
        <v>129991</v>
      </c>
      <c r="J211" t="str" cm="1">
        <f t="array" ref="J21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11">
        <v>774</v>
      </c>
      <c r="L211" t="s">
        <v>27</v>
      </c>
      <c r="M211">
        <v>2</v>
      </c>
      <c r="N211">
        <v>2525</v>
      </c>
      <c r="O211" t="str" cm="1">
        <f t="array" ref="O21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11" t="s">
        <v>23</v>
      </c>
      <c r="Q211" s="5">
        <v>45300</v>
      </c>
      <c r="R211">
        <v>36</v>
      </c>
      <c r="S211">
        <v>7.2</v>
      </c>
      <c r="T211">
        <v>1402.88</v>
      </c>
      <c r="U211">
        <v>36.299999999999997</v>
      </c>
      <c r="V211" t="str" cm="1">
        <f t="array" ref="V21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11" t="s">
        <v>91</v>
      </c>
      <c r="X211">
        <v>30</v>
      </c>
      <c r="Y211">
        <v>0</v>
      </c>
      <c r="Z211" s="5">
        <f>IF(Merge1[[#This Row],[loan_applications.defaulted]]=0,Merge1[[#This Row],[loan_applications.loan_amount]]*(Merge1[[#This Row],[loan_applications.interest_rate]]/100)*(Merge1[[#This Row],[loan_applications.term_months]]/12),0)</f>
        <v>9784.8000000000011</v>
      </c>
      <c r="AA211" s="5">
        <f>IF(Merge1[[#This Row],[loan_applications.defaulted]]=1,Merge1[[#This Row],[loan_applications.loan_amount]],0)</f>
        <v>0</v>
      </c>
    </row>
    <row r="212" spans="1:27" x14ac:dyDescent="0.35">
      <c r="A212" t="s">
        <v>453</v>
      </c>
      <c r="B212" t="s">
        <v>454</v>
      </c>
      <c r="C212" s="1">
        <v>45806</v>
      </c>
      <c r="D212">
        <v>46</v>
      </c>
      <c r="E212" t="s">
        <v>169</v>
      </c>
      <c r="F212" t="s">
        <v>62</v>
      </c>
      <c r="G212" t="s">
        <v>26</v>
      </c>
      <c r="H212">
        <v>11</v>
      </c>
      <c r="I212" s="5">
        <v>67764</v>
      </c>
      <c r="J212" t="str" cm="1">
        <f t="array" ref="J21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12">
        <v>765</v>
      </c>
      <c r="L212" t="s">
        <v>34</v>
      </c>
      <c r="M212">
        <v>0</v>
      </c>
      <c r="N212">
        <v>671</v>
      </c>
      <c r="O212" t="str" cm="1">
        <f t="array" ref="O21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12" t="s">
        <v>71</v>
      </c>
      <c r="Q212" s="5">
        <v>14800</v>
      </c>
      <c r="R212">
        <v>24</v>
      </c>
      <c r="S212">
        <v>8.93</v>
      </c>
      <c r="T212">
        <v>675.66</v>
      </c>
      <c r="U212">
        <v>23.8</v>
      </c>
      <c r="V212" t="str" cm="1">
        <f t="array" ref="V21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12" t="s">
        <v>41</v>
      </c>
      <c r="X212">
        <v>0</v>
      </c>
      <c r="Y212">
        <v>0</v>
      </c>
      <c r="Z212" s="5">
        <f>IF(Merge1[[#This Row],[loan_applications.defaulted]]=0,Merge1[[#This Row],[loan_applications.loan_amount]]*(Merge1[[#This Row],[loan_applications.interest_rate]]/100)*(Merge1[[#This Row],[loan_applications.term_months]]/12),0)</f>
        <v>2643.2799999999997</v>
      </c>
      <c r="AA212" s="5">
        <f>IF(Merge1[[#This Row],[loan_applications.defaulted]]=1,Merge1[[#This Row],[loan_applications.loan_amount]],0)</f>
        <v>0</v>
      </c>
    </row>
    <row r="213" spans="1:27" x14ac:dyDescent="0.35">
      <c r="A213" t="s">
        <v>455</v>
      </c>
      <c r="B213" t="s">
        <v>456</v>
      </c>
      <c r="C213" s="1">
        <v>45511</v>
      </c>
      <c r="D213">
        <v>45</v>
      </c>
      <c r="E213" t="s">
        <v>113</v>
      </c>
      <c r="F213" t="s">
        <v>32</v>
      </c>
      <c r="G213" t="s">
        <v>63</v>
      </c>
      <c r="H213">
        <v>0</v>
      </c>
      <c r="I213" s="5">
        <v>31088</v>
      </c>
      <c r="J213" t="str" cm="1">
        <f t="array" ref="J21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13">
        <v>583</v>
      </c>
      <c r="L213" t="s">
        <v>17</v>
      </c>
      <c r="M213">
        <v>1</v>
      </c>
      <c r="N213">
        <v>1312</v>
      </c>
      <c r="O213" t="str" cm="1">
        <f t="array" ref="O21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13" t="s">
        <v>23</v>
      </c>
      <c r="Q213" s="5">
        <v>11400</v>
      </c>
      <c r="R213">
        <v>12</v>
      </c>
      <c r="S213">
        <v>14.49</v>
      </c>
      <c r="T213">
        <v>1026.2</v>
      </c>
      <c r="U213">
        <v>90.3</v>
      </c>
      <c r="V213" t="str" cm="1">
        <f t="array" ref="V21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13" t="s">
        <v>24</v>
      </c>
      <c r="X213">
        <v>42</v>
      </c>
      <c r="Y213">
        <v>1</v>
      </c>
      <c r="Z21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13" s="5">
        <f>IF(Merge1[[#This Row],[loan_applications.defaulted]]=1,Merge1[[#This Row],[loan_applications.loan_amount]],0)</f>
        <v>11400</v>
      </c>
    </row>
    <row r="214" spans="1:27" x14ac:dyDescent="0.35">
      <c r="A214" t="s">
        <v>457</v>
      </c>
      <c r="B214" t="s">
        <v>458</v>
      </c>
      <c r="C214" s="1">
        <v>45389</v>
      </c>
      <c r="D214">
        <v>29</v>
      </c>
      <c r="E214" t="s">
        <v>113</v>
      </c>
      <c r="F214" t="s">
        <v>68</v>
      </c>
      <c r="G214" t="s">
        <v>26</v>
      </c>
      <c r="H214">
        <v>4</v>
      </c>
      <c r="I214" s="5">
        <v>50017</v>
      </c>
      <c r="J214" t="str" cm="1">
        <f t="array" ref="J21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14">
        <v>843</v>
      </c>
      <c r="L214" t="s">
        <v>17</v>
      </c>
      <c r="M214">
        <v>0</v>
      </c>
      <c r="N214">
        <v>491</v>
      </c>
      <c r="O214" t="str" cm="1">
        <f t="array" ref="O21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14" t="s">
        <v>71</v>
      </c>
      <c r="Q214" s="5">
        <v>10400</v>
      </c>
      <c r="R214">
        <v>12</v>
      </c>
      <c r="S214">
        <v>9.5399999999999991</v>
      </c>
      <c r="T214">
        <v>912.1</v>
      </c>
      <c r="U214">
        <v>33.700000000000003</v>
      </c>
      <c r="V214" t="str" cm="1">
        <f t="array" ref="V21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14" t="s">
        <v>41</v>
      </c>
      <c r="X214">
        <v>0</v>
      </c>
      <c r="Y214">
        <v>0</v>
      </c>
      <c r="Z214" s="5">
        <f>IF(Merge1[[#This Row],[loan_applications.defaulted]]=0,Merge1[[#This Row],[loan_applications.loan_amount]]*(Merge1[[#This Row],[loan_applications.interest_rate]]/100)*(Merge1[[#This Row],[loan_applications.term_months]]/12),0)</f>
        <v>992.15999999999985</v>
      </c>
      <c r="AA214" s="5">
        <f>IF(Merge1[[#This Row],[loan_applications.defaulted]]=1,Merge1[[#This Row],[loan_applications.loan_amount]],0)</f>
        <v>0</v>
      </c>
    </row>
    <row r="215" spans="1:27" x14ac:dyDescent="0.35">
      <c r="A215" t="s">
        <v>459</v>
      </c>
      <c r="B215" t="s">
        <v>460</v>
      </c>
      <c r="C215" s="1">
        <v>45599</v>
      </c>
      <c r="D215">
        <v>26</v>
      </c>
      <c r="E215" t="s">
        <v>330</v>
      </c>
      <c r="F215" t="s">
        <v>32</v>
      </c>
      <c r="G215" t="s">
        <v>33</v>
      </c>
      <c r="H215">
        <v>6</v>
      </c>
      <c r="I215" s="5">
        <v>68998</v>
      </c>
      <c r="J215" t="str" cm="1">
        <f t="array" ref="J21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15">
        <v>579</v>
      </c>
      <c r="L215" t="s">
        <v>17</v>
      </c>
      <c r="M215">
        <v>4</v>
      </c>
      <c r="N215">
        <v>2207</v>
      </c>
      <c r="O215" t="str" cm="1">
        <f t="array" ref="O21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15" t="s">
        <v>23</v>
      </c>
      <c r="Q215" s="5">
        <v>30700</v>
      </c>
      <c r="R215">
        <v>36</v>
      </c>
      <c r="S215">
        <v>12.87</v>
      </c>
      <c r="T215">
        <v>1032.48</v>
      </c>
      <c r="U215">
        <v>56.3</v>
      </c>
      <c r="V215" t="str" cm="1">
        <f t="array" ref="V21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15" t="s">
        <v>24</v>
      </c>
      <c r="X215">
        <v>168</v>
      </c>
      <c r="Y215">
        <v>1</v>
      </c>
      <c r="Z21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15" s="5">
        <f>IF(Merge1[[#This Row],[loan_applications.defaulted]]=1,Merge1[[#This Row],[loan_applications.loan_amount]],0)</f>
        <v>30700</v>
      </c>
    </row>
    <row r="216" spans="1:27" x14ac:dyDescent="0.35">
      <c r="A216" t="s">
        <v>461</v>
      </c>
      <c r="B216" t="s">
        <v>462</v>
      </c>
      <c r="C216" s="1">
        <v>45476</v>
      </c>
      <c r="D216">
        <v>67</v>
      </c>
      <c r="E216" t="s">
        <v>83</v>
      </c>
      <c r="F216" t="s">
        <v>15</v>
      </c>
      <c r="G216" t="s">
        <v>26</v>
      </c>
      <c r="H216">
        <v>11</v>
      </c>
      <c r="I216" s="5">
        <v>53774</v>
      </c>
      <c r="J216" t="str" cm="1">
        <f t="array" ref="J21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16">
        <v>610</v>
      </c>
      <c r="L216" t="s">
        <v>17</v>
      </c>
      <c r="M216">
        <v>0</v>
      </c>
      <c r="N216">
        <v>2431</v>
      </c>
      <c r="O216" t="str" cm="1">
        <f t="array" ref="O21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16" t="s">
        <v>23</v>
      </c>
      <c r="Q216" s="5">
        <v>27100</v>
      </c>
      <c r="R216">
        <v>48</v>
      </c>
      <c r="S216">
        <v>13.19</v>
      </c>
      <c r="T216">
        <v>729.58</v>
      </c>
      <c r="U216">
        <v>70.5</v>
      </c>
      <c r="V216" t="str" cm="1">
        <f t="array" ref="V21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16" t="s">
        <v>41</v>
      </c>
      <c r="X216">
        <v>0</v>
      </c>
      <c r="Y216">
        <v>0</v>
      </c>
      <c r="Z216" s="5">
        <f>IF(Merge1[[#This Row],[loan_applications.defaulted]]=0,Merge1[[#This Row],[loan_applications.loan_amount]]*(Merge1[[#This Row],[loan_applications.interest_rate]]/100)*(Merge1[[#This Row],[loan_applications.term_months]]/12),0)</f>
        <v>14297.96</v>
      </c>
      <c r="AA216" s="5">
        <f>IF(Merge1[[#This Row],[loan_applications.defaulted]]=1,Merge1[[#This Row],[loan_applications.loan_amount]],0)</f>
        <v>0</v>
      </c>
    </row>
    <row r="217" spans="1:27" x14ac:dyDescent="0.35">
      <c r="A217" t="s">
        <v>463</v>
      </c>
      <c r="B217" t="s">
        <v>464</v>
      </c>
      <c r="C217" s="1">
        <v>45837</v>
      </c>
      <c r="D217">
        <v>30</v>
      </c>
      <c r="E217" t="s">
        <v>109</v>
      </c>
      <c r="F217" t="s">
        <v>68</v>
      </c>
      <c r="G217" t="s">
        <v>26</v>
      </c>
      <c r="H217">
        <v>5</v>
      </c>
      <c r="I217" s="5">
        <v>46073</v>
      </c>
      <c r="J217" t="str" cm="1">
        <f t="array" ref="J21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17">
        <v>823</v>
      </c>
      <c r="L217" t="s">
        <v>34</v>
      </c>
      <c r="M217">
        <v>0</v>
      </c>
      <c r="N217">
        <v>1889</v>
      </c>
      <c r="O217" t="str" cm="1">
        <f t="array" ref="O21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17" t="s">
        <v>20</v>
      </c>
      <c r="Q217" s="5">
        <v>24700</v>
      </c>
      <c r="R217">
        <v>48</v>
      </c>
      <c r="S217">
        <v>7.62</v>
      </c>
      <c r="T217">
        <v>598.6</v>
      </c>
      <c r="U217">
        <v>64.8</v>
      </c>
      <c r="V217" t="str" cm="1">
        <f t="array" ref="V21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17" t="s">
        <v>91</v>
      </c>
      <c r="X217">
        <v>15</v>
      </c>
      <c r="Y217">
        <v>0</v>
      </c>
      <c r="Z217" s="5">
        <f>IF(Merge1[[#This Row],[loan_applications.defaulted]]=0,Merge1[[#This Row],[loan_applications.loan_amount]]*(Merge1[[#This Row],[loan_applications.interest_rate]]/100)*(Merge1[[#This Row],[loan_applications.term_months]]/12),0)</f>
        <v>7528.56</v>
      </c>
      <c r="AA217" s="5">
        <f>IF(Merge1[[#This Row],[loan_applications.defaulted]]=1,Merge1[[#This Row],[loan_applications.loan_amount]],0)</f>
        <v>0</v>
      </c>
    </row>
    <row r="218" spans="1:27" x14ac:dyDescent="0.35">
      <c r="A218" t="s">
        <v>465</v>
      </c>
      <c r="B218" t="s">
        <v>466</v>
      </c>
      <c r="C218" s="1">
        <v>45599</v>
      </c>
      <c r="D218">
        <v>26</v>
      </c>
      <c r="E218" t="s">
        <v>46</v>
      </c>
      <c r="F218" t="s">
        <v>68</v>
      </c>
      <c r="G218" t="s">
        <v>75</v>
      </c>
      <c r="H218">
        <v>3</v>
      </c>
      <c r="I218" s="5">
        <v>37566</v>
      </c>
      <c r="J218" t="str" cm="1">
        <f t="array" ref="J21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18">
        <v>794</v>
      </c>
      <c r="L218" t="s">
        <v>17</v>
      </c>
      <c r="M218">
        <v>2</v>
      </c>
      <c r="N218">
        <v>352</v>
      </c>
      <c r="O218" t="str" cm="1">
        <f t="array" ref="O21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18" t="s">
        <v>60</v>
      </c>
      <c r="Q218" s="5">
        <v>14000</v>
      </c>
      <c r="R218">
        <v>24</v>
      </c>
      <c r="S218">
        <v>7.97</v>
      </c>
      <c r="T218">
        <v>632.99</v>
      </c>
      <c r="U218">
        <v>31.5</v>
      </c>
      <c r="V218" t="str" cm="1">
        <f t="array" ref="V21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18" t="s">
        <v>21</v>
      </c>
      <c r="X218">
        <v>0</v>
      </c>
      <c r="Y218">
        <v>0</v>
      </c>
      <c r="Z218" s="5">
        <f>IF(Merge1[[#This Row],[loan_applications.defaulted]]=0,Merge1[[#This Row],[loan_applications.loan_amount]]*(Merge1[[#This Row],[loan_applications.interest_rate]]/100)*(Merge1[[#This Row],[loan_applications.term_months]]/12),0)</f>
        <v>2231.6</v>
      </c>
      <c r="AA218" s="5">
        <f>IF(Merge1[[#This Row],[loan_applications.defaulted]]=1,Merge1[[#This Row],[loan_applications.loan_amount]],0)</f>
        <v>0</v>
      </c>
    </row>
    <row r="219" spans="1:27" x14ac:dyDescent="0.35">
      <c r="A219" t="s">
        <v>467</v>
      </c>
      <c r="B219" t="s">
        <v>466</v>
      </c>
      <c r="C219" s="1">
        <v>45456</v>
      </c>
      <c r="D219">
        <v>26</v>
      </c>
      <c r="E219" t="s">
        <v>46</v>
      </c>
      <c r="F219" t="s">
        <v>68</v>
      </c>
      <c r="G219" t="s">
        <v>75</v>
      </c>
      <c r="H219">
        <v>3</v>
      </c>
      <c r="I219" s="5">
        <v>37566</v>
      </c>
      <c r="J219" t="str" cm="1">
        <f t="array" ref="J21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19">
        <v>794</v>
      </c>
      <c r="L219" t="s">
        <v>17</v>
      </c>
      <c r="M219">
        <v>2</v>
      </c>
      <c r="N219">
        <v>352</v>
      </c>
      <c r="O219" t="str" cm="1">
        <f t="array" ref="O21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19" t="s">
        <v>54</v>
      </c>
      <c r="Q219" s="5">
        <v>34000</v>
      </c>
      <c r="R219">
        <v>36</v>
      </c>
      <c r="S219">
        <v>10.89</v>
      </c>
      <c r="T219">
        <v>1111.3499999999999</v>
      </c>
      <c r="U219">
        <v>46.7</v>
      </c>
      <c r="V219" t="str" cm="1">
        <f t="array" ref="V21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19" t="s">
        <v>41</v>
      </c>
      <c r="X219">
        <v>0</v>
      </c>
      <c r="Y219">
        <v>0</v>
      </c>
      <c r="Z219" s="5">
        <f>IF(Merge1[[#This Row],[loan_applications.defaulted]]=0,Merge1[[#This Row],[loan_applications.loan_amount]]*(Merge1[[#This Row],[loan_applications.interest_rate]]/100)*(Merge1[[#This Row],[loan_applications.term_months]]/12),0)</f>
        <v>11107.800000000001</v>
      </c>
      <c r="AA219" s="5">
        <f>IF(Merge1[[#This Row],[loan_applications.defaulted]]=1,Merge1[[#This Row],[loan_applications.loan_amount]],0)</f>
        <v>0</v>
      </c>
    </row>
    <row r="220" spans="1:27" x14ac:dyDescent="0.35">
      <c r="A220" t="s">
        <v>468</v>
      </c>
      <c r="B220" t="s">
        <v>469</v>
      </c>
      <c r="C220" s="1">
        <v>45738</v>
      </c>
      <c r="D220">
        <v>42</v>
      </c>
      <c r="E220" t="s">
        <v>169</v>
      </c>
      <c r="F220" t="s">
        <v>32</v>
      </c>
      <c r="G220" t="s">
        <v>26</v>
      </c>
      <c r="H220">
        <v>4</v>
      </c>
      <c r="I220" s="5">
        <v>83990</v>
      </c>
      <c r="J220" t="str" cm="1">
        <f t="array" ref="J22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20">
        <v>716</v>
      </c>
      <c r="L220" t="s">
        <v>17</v>
      </c>
      <c r="M220">
        <v>2</v>
      </c>
      <c r="N220">
        <v>2406</v>
      </c>
      <c r="O220" t="str" cm="1">
        <f t="array" ref="O22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20" t="s">
        <v>56</v>
      </c>
      <c r="Q220" s="5">
        <v>22700</v>
      </c>
      <c r="R220">
        <v>36</v>
      </c>
      <c r="S220">
        <v>10.39</v>
      </c>
      <c r="T220">
        <v>736.63</v>
      </c>
      <c r="U220">
        <v>44.9</v>
      </c>
      <c r="V220" t="str" cm="1">
        <f t="array" ref="V22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20" t="s">
        <v>91</v>
      </c>
      <c r="X220">
        <v>15</v>
      </c>
      <c r="Y220">
        <v>0</v>
      </c>
      <c r="Z220" s="5">
        <f>IF(Merge1[[#This Row],[loan_applications.defaulted]]=0,Merge1[[#This Row],[loan_applications.loan_amount]]*(Merge1[[#This Row],[loan_applications.interest_rate]]/100)*(Merge1[[#This Row],[loan_applications.term_months]]/12),0)</f>
        <v>7075.59</v>
      </c>
      <c r="AA220" s="5">
        <f>IF(Merge1[[#This Row],[loan_applications.defaulted]]=1,Merge1[[#This Row],[loan_applications.loan_amount]],0)</f>
        <v>0</v>
      </c>
    </row>
    <row r="221" spans="1:27" x14ac:dyDescent="0.35">
      <c r="A221" t="s">
        <v>470</v>
      </c>
      <c r="B221" t="s">
        <v>471</v>
      </c>
      <c r="C221" s="1">
        <v>45335</v>
      </c>
      <c r="D221">
        <v>30</v>
      </c>
      <c r="E221" t="s">
        <v>203</v>
      </c>
      <c r="F221" t="s">
        <v>32</v>
      </c>
      <c r="G221" t="s">
        <v>33</v>
      </c>
      <c r="H221">
        <v>8</v>
      </c>
      <c r="I221" s="5">
        <v>44135</v>
      </c>
      <c r="J221" t="str" cm="1">
        <f t="array" ref="J22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21">
        <v>593</v>
      </c>
      <c r="L221" t="s">
        <v>27</v>
      </c>
      <c r="M221">
        <v>0</v>
      </c>
      <c r="N221">
        <v>1902</v>
      </c>
      <c r="O221" t="str" cm="1">
        <f t="array" ref="O22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21" t="s">
        <v>60</v>
      </c>
      <c r="Q221" s="5">
        <v>22000</v>
      </c>
      <c r="R221">
        <v>60</v>
      </c>
      <c r="S221">
        <v>11</v>
      </c>
      <c r="T221">
        <v>478.33</v>
      </c>
      <c r="U221">
        <v>64.7</v>
      </c>
      <c r="V221" t="str" cm="1">
        <f t="array" ref="V22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1" t="s">
        <v>41</v>
      </c>
      <c r="X221">
        <v>0</v>
      </c>
      <c r="Y221">
        <v>0</v>
      </c>
      <c r="Z221" s="5">
        <f>IF(Merge1[[#This Row],[loan_applications.defaulted]]=0,Merge1[[#This Row],[loan_applications.loan_amount]]*(Merge1[[#This Row],[loan_applications.interest_rate]]/100)*(Merge1[[#This Row],[loan_applications.term_months]]/12),0)</f>
        <v>12100</v>
      </c>
      <c r="AA221" s="5">
        <f>IF(Merge1[[#This Row],[loan_applications.defaulted]]=1,Merge1[[#This Row],[loan_applications.loan_amount]],0)</f>
        <v>0</v>
      </c>
    </row>
    <row r="222" spans="1:27" x14ac:dyDescent="0.35">
      <c r="A222" t="s">
        <v>472</v>
      </c>
      <c r="B222" t="s">
        <v>473</v>
      </c>
      <c r="C222" s="1">
        <v>45708</v>
      </c>
      <c r="D222">
        <v>36</v>
      </c>
      <c r="E222" t="s">
        <v>109</v>
      </c>
      <c r="F222" t="s">
        <v>68</v>
      </c>
      <c r="G222" t="s">
        <v>75</v>
      </c>
      <c r="H222">
        <v>8</v>
      </c>
      <c r="I222" s="5">
        <v>42447</v>
      </c>
      <c r="J222" t="str" cm="1">
        <f t="array" ref="J22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22">
        <v>570</v>
      </c>
      <c r="L222" t="s">
        <v>27</v>
      </c>
      <c r="M222">
        <v>0</v>
      </c>
      <c r="N222">
        <v>1282</v>
      </c>
      <c r="O222" t="str" cm="1">
        <f t="array" ref="O22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22" t="s">
        <v>54</v>
      </c>
      <c r="Q222" s="5">
        <v>10000</v>
      </c>
      <c r="R222">
        <v>12</v>
      </c>
      <c r="S222">
        <v>15</v>
      </c>
      <c r="T222">
        <v>902.58</v>
      </c>
      <c r="U222">
        <v>61.8</v>
      </c>
      <c r="V222" t="str" cm="1">
        <f t="array" ref="V22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2" t="s">
        <v>21</v>
      </c>
      <c r="X222">
        <v>0</v>
      </c>
      <c r="Y222">
        <v>0</v>
      </c>
      <c r="Z222" s="5">
        <f>IF(Merge1[[#This Row],[loan_applications.defaulted]]=0,Merge1[[#This Row],[loan_applications.loan_amount]]*(Merge1[[#This Row],[loan_applications.interest_rate]]/100)*(Merge1[[#This Row],[loan_applications.term_months]]/12),0)</f>
        <v>1500</v>
      </c>
      <c r="AA222" s="5">
        <f>IF(Merge1[[#This Row],[loan_applications.defaulted]]=1,Merge1[[#This Row],[loan_applications.loan_amount]],0)</f>
        <v>0</v>
      </c>
    </row>
    <row r="223" spans="1:27" x14ac:dyDescent="0.35">
      <c r="A223" t="s">
        <v>474</v>
      </c>
      <c r="B223" t="s">
        <v>473</v>
      </c>
      <c r="C223" s="1">
        <v>45804</v>
      </c>
      <c r="D223">
        <v>36</v>
      </c>
      <c r="E223" t="s">
        <v>109</v>
      </c>
      <c r="F223" t="s">
        <v>68</v>
      </c>
      <c r="G223" t="s">
        <v>75</v>
      </c>
      <c r="H223">
        <v>8</v>
      </c>
      <c r="I223" s="5">
        <v>42447</v>
      </c>
      <c r="J223" t="str" cm="1">
        <f t="array" ref="J22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23">
        <v>570</v>
      </c>
      <c r="L223" t="s">
        <v>27</v>
      </c>
      <c r="M223">
        <v>0</v>
      </c>
      <c r="N223">
        <v>1282</v>
      </c>
      <c r="O223" t="str" cm="1">
        <f t="array" ref="O22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23" t="s">
        <v>23</v>
      </c>
      <c r="Q223" s="5">
        <v>36800</v>
      </c>
      <c r="R223">
        <v>24</v>
      </c>
      <c r="S223">
        <v>11.68</v>
      </c>
      <c r="T223">
        <v>1726.81</v>
      </c>
      <c r="U223">
        <v>85.1</v>
      </c>
      <c r="V223" t="str" cm="1">
        <f t="array" ref="V22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3" t="s">
        <v>21</v>
      </c>
      <c r="X223">
        <v>0</v>
      </c>
      <c r="Y223">
        <v>0</v>
      </c>
      <c r="Z223" s="5">
        <f>IF(Merge1[[#This Row],[loan_applications.defaulted]]=0,Merge1[[#This Row],[loan_applications.loan_amount]]*(Merge1[[#This Row],[loan_applications.interest_rate]]/100)*(Merge1[[#This Row],[loan_applications.term_months]]/12),0)</f>
        <v>8596.48</v>
      </c>
      <c r="AA223" s="5">
        <f>IF(Merge1[[#This Row],[loan_applications.defaulted]]=1,Merge1[[#This Row],[loan_applications.loan_amount]],0)</f>
        <v>0</v>
      </c>
    </row>
    <row r="224" spans="1:27" x14ac:dyDescent="0.35">
      <c r="A224" t="s">
        <v>475</v>
      </c>
      <c r="B224" t="s">
        <v>476</v>
      </c>
      <c r="C224" s="1">
        <v>45612</v>
      </c>
      <c r="D224">
        <v>61</v>
      </c>
      <c r="E224" t="s">
        <v>252</v>
      </c>
      <c r="F224" t="s">
        <v>32</v>
      </c>
      <c r="G224" t="s">
        <v>26</v>
      </c>
      <c r="H224">
        <v>9</v>
      </c>
      <c r="I224" s="5">
        <v>51358</v>
      </c>
      <c r="J224" t="str" cm="1">
        <f t="array" ref="J22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24">
        <v>827</v>
      </c>
      <c r="L224" t="s">
        <v>27</v>
      </c>
      <c r="M224">
        <v>2</v>
      </c>
      <c r="N224">
        <v>1508</v>
      </c>
      <c r="O224" t="str" cm="1">
        <f t="array" ref="O22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24" t="s">
        <v>30</v>
      </c>
      <c r="Q224" s="5">
        <v>27600</v>
      </c>
      <c r="R224">
        <v>24</v>
      </c>
      <c r="S224">
        <v>9.2200000000000006</v>
      </c>
      <c r="T224">
        <v>1263.69</v>
      </c>
      <c r="U224">
        <v>64.8</v>
      </c>
      <c r="V224" t="str" cm="1">
        <f t="array" ref="V22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4" t="s">
        <v>41</v>
      </c>
      <c r="X224">
        <v>0</v>
      </c>
      <c r="Y224">
        <v>0</v>
      </c>
      <c r="Z224" s="5">
        <f>IF(Merge1[[#This Row],[loan_applications.defaulted]]=0,Merge1[[#This Row],[loan_applications.loan_amount]]*(Merge1[[#This Row],[loan_applications.interest_rate]]/100)*(Merge1[[#This Row],[loan_applications.term_months]]/12),0)</f>
        <v>5089.4400000000005</v>
      </c>
      <c r="AA224" s="5">
        <f>IF(Merge1[[#This Row],[loan_applications.defaulted]]=1,Merge1[[#This Row],[loan_applications.loan_amount]],0)</f>
        <v>0</v>
      </c>
    </row>
    <row r="225" spans="1:27" x14ac:dyDescent="0.35">
      <c r="A225" t="s">
        <v>477</v>
      </c>
      <c r="B225" t="s">
        <v>476</v>
      </c>
      <c r="C225" s="1">
        <v>45573</v>
      </c>
      <c r="D225">
        <v>61</v>
      </c>
      <c r="E225" t="s">
        <v>252</v>
      </c>
      <c r="F225" t="s">
        <v>32</v>
      </c>
      <c r="G225" t="s">
        <v>26</v>
      </c>
      <c r="H225">
        <v>9</v>
      </c>
      <c r="I225" s="5">
        <v>51358</v>
      </c>
      <c r="J225" t="str" cm="1">
        <f t="array" ref="J22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25">
        <v>827</v>
      </c>
      <c r="L225" t="s">
        <v>27</v>
      </c>
      <c r="M225">
        <v>2</v>
      </c>
      <c r="N225">
        <v>1508</v>
      </c>
      <c r="O225" t="str" cm="1">
        <f t="array" ref="O22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25" t="s">
        <v>56</v>
      </c>
      <c r="Q225" s="5">
        <v>12500</v>
      </c>
      <c r="R225">
        <v>12</v>
      </c>
      <c r="S225">
        <v>7.09</v>
      </c>
      <c r="T225">
        <v>1082.0999999999999</v>
      </c>
      <c r="U225">
        <v>60.5</v>
      </c>
      <c r="V225" t="str" cm="1">
        <f t="array" ref="V22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5" t="s">
        <v>41</v>
      </c>
      <c r="X225">
        <v>0</v>
      </c>
      <c r="Y225">
        <v>0</v>
      </c>
      <c r="Z225" s="5">
        <f>IF(Merge1[[#This Row],[loan_applications.defaulted]]=0,Merge1[[#This Row],[loan_applications.loan_amount]]*(Merge1[[#This Row],[loan_applications.interest_rate]]/100)*(Merge1[[#This Row],[loan_applications.term_months]]/12),0)</f>
        <v>886.25000000000011</v>
      </c>
      <c r="AA225" s="5">
        <f>IF(Merge1[[#This Row],[loan_applications.defaulted]]=1,Merge1[[#This Row],[loan_applications.loan_amount]],0)</f>
        <v>0</v>
      </c>
    </row>
    <row r="226" spans="1:27" x14ac:dyDescent="0.35">
      <c r="A226" t="s">
        <v>478</v>
      </c>
      <c r="B226" t="s">
        <v>479</v>
      </c>
      <c r="C226" s="1">
        <v>45544</v>
      </c>
      <c r="D226">
        <v>58</v>
      </c>
      <c r="E226" t="s">
        <v>169</v>
      </c>
      <c r="F226" t="s">
        <v>15</v>
      </c>
      <c r="G226" t="s">
        <v>33</v>
      </c>
      <c r="H226">
        <v>16</v>
      </c>
      <c r="I226" s="5">
        <v>25259</v>
      </c>
      <c r="J226" t="str" cm="1">
        <f t="array" ref="J22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26">
        <v>850</v>
      </c>
      <c r="L226" t="s">
        <v>17</v>
      </c>
      <c r="M226">
        <v>2</v>
      </c>
      <c r="N226">
        <v>755</v>
      </c>
      <c r="O226" t="str" cm="1">
        <f t="array" ref="O22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26" t="s">
        <v>45</v>
      </c>
      <c r="Q226" s="5">
        <v>5000</v>
      </c>
      <c r="R226">
        <v>60</v>
      </c>
      <c r="S226">
        <v>7.95</v>
      </c>
      <c r="T226">
        <v>101.26</v>
      </c>
      <c r="U226">
        <v>40.700000000000003</v>
      </c>
      <c r="V226" t="str" cm="1">
        <f t="array" ref="V22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26" t="s">
        <v>91</v>
      </c>
      <c r="X226">
        <v>15</v>
      </c>
      <c r="Y226">
        <v>0</v>
      </c>
      <c r="Z226" s="5">
        <f>IF(Merge1[[#This Row],[loan_applications.defaulted]]=0,Merge1[[#This Row],[loan_applications.loan_amount]]*(Merge1[[#This Row],[loan_applications.interest_rate]]/100)*(Merge1[[#This Row],[loan_applications.term_months]]/12),0)</f>
        <v>1987.5</v>
      </c>
      <c r="AA226" s="5">
        <f>IF(Merge1[[#This Row],[loan_applications.defaulted]]=1,Merge1[[#This Row],[loan_applications.loan_amount]],0)</f>
        <v>0</v>
      </c>
    </row>
    <row r="227" spans="1:27" x14ac:dyDescent="0.35">
      <c r="A227" t="s">
        <v>480</v>
      </c>
      <c r="B227" t="s">
        <v>481</v>
      </c>
      <c r="C227" s="1">
        <v>45347</v>
      </c>
      <c r="D227">
        <v>23</v>
      </c>
      <c r="E227" t="s">
        <v>57</v>
      </c>
      <c r="F227" t="s">
        <v>32</v>
      </c>
      <c r="G227" t="s">
        <v>63</v>
      </c>
      <c r="H227">
        <v>3</v>
      </c>
      <c r="I227" s="5">
        <v>32494</v>
      </c>
      <c r="J227" t="str" cm="1">
        <f t="array" ref="J22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27">
        <v>679</v>
      </c>
      <c r="L227" t="s">
        <v>27</v>
      </c>
      <c r="M227">
        <v>2</v>
      </c>
      <c r="N227">
        <v>538</v>
      </c>
      <c r="O227" t="str" cm="1">
        <f t="array" ref="O22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27" t="s">
        <v>45</v>
      </c>
      <c r="Q227" s="5">
        <v>2800</v>
      </c>
      <c r="R227">
        <v>60</v>
      </c>
      <c r="S227">
        <v>8.86</v>
      </c>
      <c r="T227">
        <v>57.93</v>
      </c>
      <c r="U227">
        <v>22</v>
      </c>
      <c r="V227" t="str" cm="1">
        <f t="array" ref="V22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27" t="s">
        <v>41</v>
      </c>
      <c r="X227">
        <v>0</v>
      </c>
      <c r="Y227">
        <v>0</v>
      </c>
      <c r="Z227" s="5">
        <f>IF(Merge1[[#This Row],[loan_applications.defaulted]]=0,Merge1[[#This Row],[loan_applications.loan_amount]]*(Merge1[[#This Row],[loan_applications.interest_rate]]/100)*(Merge1[[#This Row],[loan_applications.term_months]]/12),0)</f>
        <v>1240.3999999999999</v>
      </c>
      <c r="AA227" s="5">
        <f>IF(Merge1[[#This Row],[loan_applications.defaulted]]=1,Merge1[[#This Row],[loan_applications.loan_amount]],0)</f>
        <v>0</v>
      </c>
    </row>
    <row r="228" spans="1:27" x14ac:dyDescent="0.35">
      <c r="A228" t="s">
        <v>482</v>
      </c>
      <c r="B228" t="s">
        <v>483</v>
      </c>
      <c r="C228" s="1">
        <v>45534</v>
      </c>
      <c r="D228">
        <v>26</v>
      </c>
      <c r="E228" t="s">
        <v>193</v>
      </c>
      <c r="F228" t="s">
        <v>32</v>
      </c>
      <c r="G228" t="s">
        <v>26</v>
      </c>
      <c r="H228">
        <v>1</v>
      </c>
      <c r="I228" s="5">
        <v>67116</v>
      </c>
      <c r="J228" t="str" cm="1">
        <f t="array" ref="J22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28">
        <v>772</v>
      </c>
      <c r="L228" t="s">
        <v>34</v>
      </c>
      <c r="M228">
        <v>1</v>
      </c>
      <c r="N228">
        <v>2288</v>
      </c>
      <c r="O228" t="str" cm="1">
        <f t="array" ref="O22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28" t="s">
        <v>37</v>
      </c>
      <c r="Q228" s="5">
        <v>35600</v>
      </c>
      <c r="R228">
        <v>12</v>
      </c>
      <c r="S228">
        <v>9.81</v>
      </c>
      <c r="T228">
        <v>3126.66</v>
      </c>
      <c r="U228">
        <v>96.8</v>
      </c>
      <c r="V228" t="str" cm="1">
        <f t="array" ref="V22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28" t="s">
        <v>21</v>
      </c>
      <c r="X228">
        <v>0</v>
      </c>
      <c r="Y228">
        <v>0</v>
      </c>
      <c r="Z228" s="5">
        <f>IF(Merge1[[#This Row],[loan_applications.defaulted]]=0,Merge1[[#This Row],[loan_applications.loan_amount]]*(Merge1[[#This Row],[loan_applications.interest_rate]]/100)*(Merge1[[#This Row],[loan_applications.term_months]]/12),0)</f>
        <v>3492.36</v>
      </c>
      <c r="AA228" s="5">
        <f>IF(Merge1[[#This Row],[loan_applications.defaulted]]=1,Merge1[[#This Row],[loan_applications.loan_amount]],0)</f>
        <v>0</v>
      </c>
    </row>
    <row r="229" spans="1:27" x14ac:dyDescent="0.35">
      <c r="A229" t="s">
        <v>484</v>
      </c>
      <c r="B229" t="s">
        <v>485</v>
      </c>
      <c r="C229" s="1">
        <v>45456</v>
      </c>
      <c r="D229">
        <v>68</v>
      </c>
      <c r="E229" t="s">
        <v>118</v>
      </c>
      <c r="F229" t="s">
        <v>47</v>
      </c>
      <c r="G229" t="s">
        <v>26</v>
      </c>
      <c r="H229">
        <v>32</v>
      </c>
      <c r="I229" s="5">
        <v>108165</v>
      </c>
      <c r="J229" t="str" cm="1">
        <f t="array" ref="J22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29">
        <v>734</v>
      </c>
      <c r="L229" t="s">
        <v>34</v>
      </c>
      <c r="M229">
        <v>0</v>
      </c>
      <c r="N229">
        <v>1002</v>
      </c>
      <c r="O229" t="str" cm="1">
        <f t="array" ref="O22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29" t="s">
        <v>37</v>
      </c>
      <c r="Q229" s="5">
        <v>46900</v>
      </c>
      <c r="R229">
        <v>24</v>
      </c>
      <c r="S229">
        <v>9.25</v>
      </c>
      <c r="T229">
        <v>2148</v>
      </c>
      <c r="U229">
        <v>34.9</v>
      </c>
      <c r="V229" t="str" cm="1">
        <f t="array" ref="V22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29" t="s">
        <v>21</v>
      </c>
      <c r="X229">
        <v>0</v>
      </c>
      <c r="Y229">
        <v>0</v>
      </c>
      <c r="Z229" s="5">
        <f>IF(Merge1[[#This Row],[loan_applications.defaulted]]=0,Merge1[[#This Row],[loan_applications.loan_amount]]*(Merge1[[#This Row],[loan_applications.interest_rate]]/100)*(Merge1[[#This Row],[loan_applications.term_months]]/12),0)</f>
        <v>8676.5</v>
      </c>
      <c r="AA229" s="5">
        <f>IF(Merge1[[#This Row],[loan_applications.defaulted]]=1,Merge1[[#This Row],[loan_applications.loan_amount]],0)</f>
        <v>0</v>
      </c>
    </row>
    <row r="230" spans="1:27" x14ac:dyDescent="0.35">
      <c r="A230" t="s">
        <v>486</v>
      </c>
      <c r="B230" t="s">
        <v>487</v>
      </c>
      <c r="C230" s="1">
        <v>45795</v>
      </c>
      <c r="D230">
        <v>50</v>
      </c>
      <c r="E230" t="s">
        <v>51</v>
      </c>
      <c r="F230" t="s">
        <v>68</v>
      </c>
      <c r="G230" t="s">
        <v>26</v>
      </c>
      <c r="H230">
        <v>27</v>
      </c>
      <c r="I230" s="5">
        <v>42807</v>
      </c>
      <c r="J230" t="str" cm="1">
        <f t="array" ref="J23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30">
        <v>726</v>
      </c>
      <c r="L230" t="s">
        <v>34</v>
      </c>
      <c r="M230">
        <v>4</v>
      </c>
      <c r="N230">
        <v>1787</v>
      </c>
      <c r="O230" t="str" cm="1">
        <f t="array" ref="O23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30" t="s">
        <v>23</v>
      </c>
      <c r="Q230" s="5">
        <v>15200</v>
      </c>
      <c r="R230">
        <v>12</v>
      </c>
      <c r="S230">
        <v>12.02</v>
      </c>
      <c r="T230">
        <v>1350.64</v>
      </c>
      <c r="U230">
        <v>88</v>
      </c>
      <c r="V230" t="str" cm="1">
        <f t="array" ref="V23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30" t="s">
        <v>21</v>
      </c>
      <c r="X230">
        <v>0</v>
      </c>
      <c r="Y230">
        <v>0</v>
      </c>
      <c r="Z230" s="5">
        <f>IF(Merge1[[#This Row],[loan_applications.defaulted]]=0,Merge1[[#This Row],[loan_applications.loan_amount]]*(Merge1[[#This Row],[loan_applications.interest_rate]]/100)*(Merge1[[#This Row],[loan_applications.term_months]]/12),0)</f>
        <v>1827.04</v>
      </c>
      <c r="AA230" s="5">
        <f>IF(Merge1[[#This Row],[loan_applications.defaulted]]=1,Merge1[[#This Row],[loan_applications.loan_amount]],0)</f>
        <v>0</v>
      </c>
    </row>
    <row r="231" spans="1:27" x14ac:dyDescent="0.35">
      <c r="A231" t="s">
        <v>488</v>
      </c>
      <c r="B231" t="s">
        <v>489</v>
      </c>
      <c r="C231" s="1">
        <v>45722</v>
      </c>
      <c r="D231">
        <v>42</v>
      </c>
      <c r="E231" t="s">
        <v>95</v>
      </c>
      <c r="F231" t="s">
        <v>62</v>
      </c>
      <c r="G231" t="s">
        <v>16</v>
      </c>
      <c r="H231">
        <v>15</v>
      </c>
      <c r="I231" s="5">
        <v>70887</v>
      </c>
      <c r="J231" t="str" cm="1">
        <f t="array" ref="J23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31">
        <v>616</v>
      </c>
      <c r="L231" t="s">
        <v>17</v>
      </c>
      <c r="M231">
        <v>1</v>
      </c>
      <c r="N231">
        <v>1206</v>
      </c>
      <c r="O231" t="str" cm="1">
        <f t="array" ref="O23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31" t="s">
        <v>54</v>
      </c>
      <c r="Q231" s="5">
        <v>35500</v>
      </c>
      <c r="R231">
        <v>60</v>
      </c>
      <c r="S231">
        <v>10.07</v>
      </c>
      <c r="T231">
        <v>755.49</v>
      </c>
      <c r="U231">
        <v>33.200000000000003</v>
      </c>
      <c r="V231" t="str" cm="1">
        <f t="array" ref="V23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31" t="s">
        <v>21</v>
      </c>
      <c r="X231">
        <v>0</v>
      </c>
      <c r="Y231">
        <v>0</v>
      </c>
      <c r="Z231" s="5">
        <f>IF(Merge1[[#This Row],[loan_applications.defaulted]]=0,Merge1[[#This Row],[loan_applications.loan_amount]]*(Merge1[[#This Row],[loan_applications.interest_rate]]/100)*(Merge1[[#This Row],[loan_applications.term_months]]/12),0)</f>
        <v>17874.25</v>
      </c>
      <c r="AA231" s="5">
        <f>IF(Merge1[[#This Row],[loan_applications.defaulted]]=1,Merge1[[#This Row],[loan_applications.loan_amount]],0)</f>
        <v>0</v>
      </c>
    </row>
    <row r="232" spans="1:27" x14ac:dyDescent="0.35">
      <c r="A232" t="s">
        <v>490</v>
      </c>
      <c r="B232" t="s">
        <v>491</v>
      </c>
      <c r="C232" s="1">
        <v>45431</v>
      </c>
      <c r="D232">
        <v>23</v>
      </c>
      <c r="E232" t="s">
        <v>38</v>
      </c>
      <c r="F232" t="s">
        <v>15</v>
      </c>
      <c r="G232" t="s">
        <v>26</v>
      </c>
      <c r="H232">
        <v>1</v>
      </c>
      <c r="I232" s="5">
        <v>38494</v>
      </c>
      <c r="J232" t="str" cm="1">
        <f t="array" ref="J23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32">
        <v>648</v>
      </c>
      <c r="L232" t="s">
        <v>34</v>
      </c>
      <c r="M232">
        <v>0</v>
      </c>
      <c r="N232">
        <v>954</v>
      </c>
      <c r="O232" t="str" cm="1">
        <f t="array" ref="O23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32" t="s">
        <v>60</v>
      </c>
      <c r="Q232" s="5">
        <v>30700</v>
      </c>
      <c r="R232">
        <v>24</v>
      </c>
      <c r="S232">
        <v>12.35</v>
      </c>
      <c r="T232">
        <v>1450.18</v>
      </c>
      <c r="U232">
        <v>74.900000000000006</v>
      </c>
      <c r="V232" t="str" cm="1">
        <f t="array" ref="V23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32" t="s">
        <v>24</v>
      </c>
      <c r="X232">
        <v>81</v>
      </c>
      <c r="Y232">
        <v>1</v>
      </c>
      <c r="Z23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32" s="5">
        <f>IF(Merge1[[#This Row],[loan_applications.defaulted]]=1,Merge1[[#This Row],[loan_applications.loan_amount]],0)</f>
        <v>30700</v>
      </c>
    </row>
    <row r="233" spans="1:27" x14ac:dyDescent="0.35">
      <c r="A233" t="s">
        <v>492</v>
      </c>
      <c r="B233" t="s">
        <v>493</v>
      </c>
      <c r="C233" s="1">
        <v>45425</v>
      </c>
      <c r="D233">
        <v>63</v>
      </c>
      <c r="E233" t="s">
        <v>31</v>
      </c>
      <c r="F233" t="s">
        <v>32</v>
      </c>
      <c r="G233" t="s">
        <v>26</v>
      </c>
      <c r="H233">
        <v>27</v>
      </c>
      <c r="I233" s="5">
        <v>41121</v>
      </c>
      <c r="J233" t="str" cm="1">
        <f t="array" ref="J23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33">
        <v>585</v>
      </c>
      <c r="L233" t="s">
        <v>27</v>
      </c>
      <c r="M233">
        <v>2</v>
      </c>
      <c r="N233">
        <v>1480</v>
      </c>
      <c r="O233" t="str" cm="1">
        <f t="array" ref="O23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33" t="s">
        <v>45</v>
      </c>
      <c r="Q233" s="5">
        <v>6300</v>
      </c>
      <c r="R233">
        <v>24</v>
      </c>
      <c r="S233">
        <v>12.83</v>
      </c>
      <c r="T233">
        <v>299.01</v>
      </c>
      <c r="U233">
        <v>51.9</v>
      </c>
      <c r="V233" t="str" cm="1">
        <f t="array" ref="V23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33" t="s">
        <v>21</v>
      </c>
      <c r="X233">
        <v>0</v>
      </c>
      <c r="Y233">
        <v>0</v>
      </c>
      <c r="Z233" s="5">
        <f>IF(Merge1[[#This Row],[loan_applications.defaulted]]=0,Merge1[[#This Row],[loan_applications.loan_amount]]*(Merge1[[#This Row],[loan_applications.interest_rate]]/100)*(Merge1[[#This Row],[loan_applications.term_months]]/12),0)</f>
        <v>1616.58</v>
      </c>
      <c r="AA233" s="5">
        <f>IF(Merge1[[#This Row],[loan_applications.defaulted]]=1,Merge1[[#This Row],[loan_applications.loan_amount]],0)</f>
        <v>0</v>
      </c>
    </row>
    <row r="234" spans="1:27" x14ac:dyDescent="0.35">
      <c r="A234" t="s">
        <v>494</v>
      </c>
      <c r="B234" t="s">
        <v>495</v>
      </c>
      <c r="C234" s="1">
        <v>45627</v>
      </c>
      <c r="D234">
        <v>45</v>
      </c>
      <c r="E234" t="s">
        <v>67</v>
      </c>
      <c r="F234" t="s">
        <v>15</v>
      </c>
      <c r="G234" t="s">
        <v>26</v>
      </c>
      <c r="H234">
        <v>17</v>
      </c>
      <c r="I234" s="5">
        <v>42175</v>
      </c>
      <c r="J234" t="str" cm="1">
        <f t="array" ref="J23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34">
        <v>715</v>
      </c>
      <c r="L234" t="s">
        <v>34</v>
      </c>
      <c r="M234">
        <v>1</v>
      </c>
      <c r="N234">
        <v>1519</v>
      </c>
      <c r="O234" t="str" cm="1">
        <f t="array" ref="O23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34" t="s">
        <v>20</v>
      </c>
      <c r="Q234" s="5">
        <v>8400</v>
      </c>
      <c r="R234">
        <v>24</v>
      </c>
      <c r="S234">
        <v>11.52</v>
      </c>
      <c r="T234">
        <v>393.54</v>
      </c>
      <c r="U234">
        <v>54.4</v>
      </c>
      <c r="V234" t="str" cm="1">
        <f t="array" ref="V23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34" t="s">
        <v>41</v>
      </c>
      <c r="X234">
        <v>0</v>
      </c>
      <c r="Y234">
        <v>0</v>
      </c>
      <c r="Z234" s="5">
        <f>IF(Merge1[[#This Row],[loan_applications.defaulted]]=0,Merge1[[#This Row],[loan_applications.loan_amount]]*(Merge1[[#This Row],[loan_applications.interest_rate]]/100)*(Merge1[[#This Row],[loan_applications.term_months]]/12),0)</f>
        <v>1935.36</v>
      </c>
      <c r="AA234" s="5">
        <f>IF(Merge1[[#This Row],[loan_applications.defaulted]]=1,Merge1[[#This Row],[loan_applications.loan_amount]],0)</f>
        <v>0</v>
      </c>
    </row>
    <row r="235" spans="1:27" x14ac:dyDescent="0.35">
      <c r="A235" t="s">
        <v>496</v>
      </c>
      <c r="B235" t="s">
        <v>497</v>
      </c>
      <c r="C235" s="1">
        <v>45315</v>
      </c>
      <c r="D235">
        <v>39</v>
      </c>
      <c r="E235" t="s">
        <v>57</v>
      </c>
      <c r="F235" t="s">
        <v>62</v>
      </c>
      <c r="G235" t="s">
        <v>63</v>
      </c>
      <c r="H235">
        <v>3</v>
      </c>
      <c r="I235" s="5">
        <v>58864</v>
      </c>
      <c r="J235" t="str" cm="1">
        <f t="array" ref="J23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35">
        <v>595</v>
      </c>
      <c r="L235" t="s">
        <v>34</v>
      </c>
      <c r="M235">
        <v>4</v>
      </c>
      <c r="N235">
        <v>1613</v>
      </c>
      <c r="O235" t="str" cm="1">
        <f t="array" ref="O23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35" t="s">
        <v>23</v>
      </c>
      <c r="Q235" s="5">
        <v>44400</v>
      </c>
      <c r="R235">
        <v>24</v>
      </c>
      <c r="S235">
        <v>10.19</v>
      </c>
      <c r="T235">
        <v>2052.73</v>
      </c>
      <c r="U235">
        <v>74.7</v>
      </c>
      <c r="V235" t="str" cm="1">
        <f t="array" ref="V23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35" t="s">
        <v>91</v>
      </c>
      <c r="X235">
        <v>0</v>
      </c>
      <c r="Y235">
        <v>0</v>
      </c>
      <c r="Z235" s="5">
        <f>IF(Merge1[[#This Row],[loan_applications.defaulted]]=0,Merge1[[#This Row],[loan_applications.loan_amount]]*(Merge1[[#This Row],[loan_applications.interest_rate]]/100)*(Merge1[[#This Row],[loan_applications.term_months]]/12),0)</f>
        <v>9048.7199999999993</v>
      </c>
      <c r="AA235" s="5">
        <f>IF(Merge1[[#This Row],[loan_applications.defaulted]]=1,Merge1[[#This Row],[loan_applications.loan_amount]],0)</f>
        <v>0</v>
      </c>
    </row>
    <row r="236" spans="1:27" x14ac:dyDescent="0.35">
      <c r="A236" t="s">
        <v>498</v>
      </c>
      <c r="B236" t="s">
        <v>499</v>
      </c>
      <c r="C236" s="1">
        <v>45731</v>
      </c>
      <c r="D236">
        <v>45</v>
      </c>
      <c r="E236" t="s">
        <v>193</v>
      </c>
      <c r="F236" t="s">
        <v>62</v>
      </c>
      <c r="G236" t="s">
        <v>26</v>
      </c>
      <c r="H236">
        <v>1</v>
      </c>
      <c r="I236" s="5">
        <v>98282</v>
      </c>
      <c r="J236" t="str" cm="1">
        <f t="array" ref="J23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36">
        <v>796</v>
      </c>
      <c r="L236" t="s">
        <v>27</v>
      </c>
      <c r="M236">
        <v>2</v>
      </c>
      <c r="N236">
        <v>3701</v>
      </c>
      <c r="O236" t="str" cm="1">
        <f t="array" ref="O23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36" t="s">
        <v>20</v>
      </c>
      <c r="Q236" s="5">
        <v>35700</v>
      </c>
      <c r="R236">
        <v>24</v>
      </c>
      <c r="S236">
        <v>6.98</v>
      </c>
      <c r="T236">
        <v>1598.06</v>
      </c>
      <c r="U236">
        <v>64.7</v>
      </c>
      <c r="V236" t="str" cm="1">
        <f t="array" ref="V23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36" t="s">
        <v>21</v>
      </c>
      <c r="X236">
        <v>0</v>
      </c>
      <c r="Y236">
        <v>0</v>
      </c>
      <c r="Z236" s="5">
        <f>IF(Merge1[[#This Row],[loan_applications.defaulted]]=0,Merge1[[#This Row],[loan_applications.loan_amount]]*(Merge1[[#This Row],[loan_applications.interest_rate]]/100)*(Merge1[[#This Row],[loan_applications.term_months]]/12),0)</f>
        <v>4983.72</v>
      </c>
      <c r="AA236" s="5">
        <f>IF(Merge1[[#This Row],[loan_applications.defaulted]]=1,Merge1[[#This Row],[loan_applications.loan_amount]],0)</f>
        <v>0</v>
      </c>
    </row>
    <row r="237" spans="1:27" x14ac:dyDescent="0.35">
      <c r="A237" t="s">
        <v>500</v>
      </c>
      <c r="B237" t="s">
        <v>499</v>
      </c>
      <c r="C237" s="1">
        <v>45756</v>
      </c>
      <c r="D237">
        <v>45</v>
      </c>
      <c r="E237" t="s">
        <v>193</v>
      </c>
      <c r="F237" t="s">
        <v>62</v>
      </c>
      <c r="G237" t="s">
        <v>26</v>
      </c>
      <c r="H237">
        <v>1</v>
      </c>
      <c r="I237" s="5">
        <v>98282</v>
      </c>
      <c r="J237" t="str" cm="1">
        <f t="array" ref="J23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37">
        <v>796</v>
      </c>
      <c r="L237" t="s">
        <v>27</v>
      </c>
      <c r="M237">
        <v>2</v>
      </c>
      <c r="N237">
        <v>3701</v>
      </c>
      <c r="O237" t="str" cm="1">
        <f t="array" ref="O23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37" t="s">
        <v>50</v>
      </c>
      <c r="Q237" s="5">
        <v>7600</v>
      </c>
      <c r="R237">
        <v>60</v>
      </c>
      <c r="S237">
        <v>8.91</v>
      </c>
      <c r="T237">
        <v>157.43</v>
      </c>
      <c r="U237">
        <v>47.1</v>
      </c>
      <c r="V237" t="str" cm="1">
        <f t="array" ref="V23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37" t="s">
        <v>41</v>
      </c>
      <c r="X237">
        <v>0</v>
      </c>
      <c r="Y237">
        <v>0</v>
      </c>
      <c r="Z237" s="5">
        <f>IF(Merge1[[#This Row],[loan_applications.defaulted]]=0,Merge1[[#This Row],[loan_applications.loan_amount]]*(Merge1[[#This Row],[loan_applications.interest_rate]]/100)*(Merge1[[#This Row],[loan_applications.term_months]]/12),0)</f>
        <v>3385.7999999999997</v>
      </c>
      <c r="AA237" s="5">
        <f>IF(Merge1[[#This Row],[loan_applications.defaulted]]=1,Merge1[[#This Row],[loan_applications.loan_amount]],0)</f>
        <v>0</v>
      </c>
    </row>
    <row r="238" spans="1:27" x14ac:dyDescent="0.35">
      <c r="A238" t="s">
        <v>501</v>
      </c>
      <c r="B238" t="s">
        <v>502</v>
      </c>
      <c r="C238" s="1">
        <v>45503</v>
      </c>
      <c r="D238">
        <v>55</v>
      </c>
      <c r="E238" t="s">
        <v>252</v>
      </c>
      <c r="F238" t="s">
        <v>32</v>
      </c>
      <c r="G238" t="s">
        <v>63</v>
      </c>
      <c r="H238">
        <v>20</v>
      </c>
      <c r="I238" s="5">
        <v>40418</v>
      </c>
      <c r="J238" t="str" cm="1">
        <f t="array" ref="J23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38">
        <v>697</v>
      </c>
      <c r="L238" t="s">
        <v>27</v>
      </c>
      <c r="M238">
        <v>2</v>
      </c>
      <c r="N238">
        <v>672</v>
      </c>
      <c r="O238" t="str" cm="1">
        <f t="array" ref="O23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38" t="s">
        <v>37</v>
      </c>
      <c r="Q238" s="5">
        <v>13900</v>
      </c>
      <c r="R238">
        <v>24</v>
      </c>
      <c r="S238">
        <v>10.54</v>
      </c>
      <c r="T238">
        <v>644.88</v>
      </c>
      <c r="U238">
        <v>39.1</v>
      </c>
      <c r="V238" t="str" cm="1">
        <f t="array" ref="V23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38" t="s">
        <v>91</v>
      </c>
      <c r="X238">
        <v>30</v>
      </c>
      <c r="Y238">
        <v>0</v>
      </c>
      <c r="Z238" s="5">
        <f>IF(Merge1[[#This Row],[loan_applications.defaulted]]=0,Merge1[[#This Row],[loan_applications.loan_amount]]*(Merge1[[#This Row],[loan_applications.interest_rate]]/100)*(Merge1[[#This Row],[loan_applications.term_months]]/12),0)</f>
        <v>2930.12</v>
      </c>
      <c r="AA238" s="5">
        <f>IF(Merge1[[#This Row],[loan_applications.defaulted]]=1,Merge1[[#This Row],[loan_applications.loan_amount]],0)</f>
        <v>0</v>
      </c>
    </row>
    <row r="239" spans="1:27" x14ac:dyDescent="0.35">
      <c r="A239" t="s">
        <v>503</v>
      </c>
      <c r="B239" t="s">
        <v>504</v>
      </c>
      <c r="C239" s="1">
        <v>45560</v>
      </c>
      <c r="D239">
        <v>43</v>
      </c>
      <c r="E239" t="s">
        <v>86</v>
      </c>
      <c r="F239" t="s">
        <v>32</v>
      </c>
      <c r="G239" t="s">
        <v>26</v>
      </c>
      <c r="H239">
        <v>9</v>
      </c>
      <c r="I239" s="5">
        <v>71852</v>
      </c>
      <c r="J239" t="str" cm="1">
        <f t="array" ref="J23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39">
        <v>823</v>
      </c>
      <c r="L239" t="s">
        <v>34</v>
      </c>
      <c r="M239">
        <v>1</v>
      </c>
      <c r="N239">
        <v>2316</v>
      </c>
      <c r="O239" t="str" cm="1">
        <f t="array" ref="O23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39" t="s">
        <v>23</v>
      </c>
      <c r="Q239" s="5">
        <v>29800</v>
      </c>
      <c r="R239">
        <v>12</v>
      </c>
      <c r="S239">
        <v>7.73</v>
      </c>
      <c r="T239">
        <v>2588.54</v>
      </c>
      <c r="U239">
        <v>81.900000000000006</v>
      </c>
      <c r="V239" t="str" cm="1">
        <f t="array" ref="V23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39" t="s">
        <v>41</v>
      </c>
      <c r="X239">
        <v>0</v>
      </c>
      <c r="Y239">
        <v>0</v>
      </c>
      <c r="Z239" s="5">
        <f>IF(Merge1[[#This Row],[loan_applications.defaulted]]=0,Merge1[[#This Row],[loan_applications.loan_amount]]*(Merge1[[#This Row],[loan_applications.interest_rate]]/100)*(Merge1[[#This Row],[loan_applications.term_months]]/12),0)</f>
        <v>2303.5400000000004</v>
      </c>
      <c r="AA239" s="5">
        <f>IF(Merge1[[#This Row],[loan_applications.defaulted]]=1,Merge1[[#This Row],[loan_applications.loan_amount]],0)</f>
        <v>0</v>
      </c>
    </row>
    <row r="240" spans="1:27" x14ac:dyDescent="0.35">
      <c r="A240" t="s">
        <v>505</v>
      </c>
      <c r="B240" t="s">
        <v>506</v>
      </c>
      <c r="C240" s="1">
        <v>45699</v>
      </c>
      <c r="D240">
        <v>48</v>
      </c>
      <c r="E240" t="s">
        <v>31</v>
      </c>
      <c r="F240" t="s">
        <v>32</v>
      </c>
      <c r="G240" t="s">
        <v>16</v>
      </c>
      <c r="H240">
        <v>0</v>
      </c>
      <c r="I240" s="5">
        <v>86875</v>
      </c>
      <c r="J240" t="str" cm="1">
        <f t="array" ref="J24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40">
        <v>850</v>
      </c>
      <c r="L240" t="s">
        <v>34</v>
      </c>
      <c r="M240">
        <v>4</v>
      </c>
      <c r="N240">
        <v>3195</v>
      </c>
      <c r="O240" t="str" cm="1">
        <f t="array" ref="O24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40" t="s">
        <v>20</v>
      </c>
      <c r="Q240" s="5">
        <v>17500</v>
      </c>
      <c r="R240">
        <v>36</v>
      </c>
      <c r="S240">
        <v>10.71</v>
      </c>
      <c r="T240">
        <v>570.53</v>
      </c>
      <c r="U240">
        <v>52</v>
      </c>
      <c r="V240" t="str" cm="1">
        <f t="array" ref="V24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40" t="s">
        <v>21</v>
      </c>
      <c r="X240">
        <v>0</v>
      </c>
      <c r="Y240">
        <v>0</v>
      </c>
      <c r="Z240" s="5">
        <f>IF(Merge1[[#This Row],[loan_applications.defaulted]]=0,Merge1[[#This Row],[loan_applications.loan_amount]]*(Merge1[[#This Row],[loan_applications.interest_rate]]/100)*(Merge1[[#This Row],[loan_applications.term_months]]/12),0)</f>
        <v>5622.7500000000009</v>
      </c>
      <c r="AA240" s="5">
        <f>IF(Merge1[[#This Row],[loan_applications.defaulted]]=1,Merge1[[#This Row],[loan_applications.loan_amount]],0)</f>
        <v>0</v>
      </c>
    </row>
    <row r="241" spans="1:27" x14ac:dyDescent="0.35">
      <c r="A241" t="s">
        <v>507</v>
      </c>
      <c r="B241" t="s">
        <v>508</v>
      </c>
      <c r="C241" s="1">
        <v>45532</v>
      </c>
      <c r="D241">
        <v>59</v>
      </c>
      <c r="E241" t="s">
        <v>252</v>
      </c>
      <c r="F241" t="s">
        <v>32</v>
      </c>
      <c r="G241" t="s">
        <v>16</v>
      </c>
      <c r="H241">
        <v>33</v>
      </c>
      <c r="I241" s="5">
        <v>77828</v>
      </c>
      <c r="J241" t="str" cm="1">
        <f t="array" ref="J24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1">
        <v>622</v>
      </c>
      <c r="L241" t="s">
        <v>34</v>
      </c>
      <c r="M241">
        <v>2</v>
      </c>
      <c r="N241">
        <v>1557</v>
      </c>
      <c r="O241" t="str" cm="1">
        <f t="array" ref="O24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41" t="s">
        <v>37</v>
      </c>
      <c r="Q241" s="5">
        <v>17700</v>
      </c>
      <c r="R241">
        <v>12</v>
      </c>
      <c r="S241">
        <v>11.3</v>
      </c>
      <c r="T241">
        <v>1566.83</v>
      </c>
      <c r="U241">
        <v>48.2</v>
      </c>
      <c r="V241" t="str" cm="1">
        <f t="array" ref="V24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41" t="s">
        <v>91</v>
      </c>
      <c r="X241">
        <v>0</v>
      </c>
      <c r="Y241">
        <v>0</v>
      </c>
      <c r="Z241" s="5">
        <f>IF(Merge1[[#This Row],[loan_applications.defaulted]]=0,Merge1[[#This Row],[loan_applications.loan_amount]]*(Merge1[[#This Row],[loan_applications.interest_rate]]/100)*(Merge1[[#This Row],[loan_applications.term_months]]/12),0)</f>
        <v>2000.1000000000001</v>
      </c>
      <c r="AA241" s="5">
        <f>IF(Merge1[[#This Row],[loan_applications.defaulted]]=1,Merge1[[#This Row],[loan_applications.loan_amount]],0)</f>
        <v>0</v>
      </c>
    </row>
    <row r="242" spans="1:27" x14ac:dyDescent="0.35">
      <c r="A242" t="s">
        <v>509</v>
      </c>
      <c r="B242" t="s">
        <v>510</v>
      </c>
      <c r="C242" s="1">
        <v>45682</v>
      </c>
      <c r="D242">
        <v>65</v>
      </c>
      <c r="E242" t="s">
        <v>92</v>
      </c>
      <c r="F242" t="s">
        <v>68</v>
      </c>
      <c r="G242" t="s">
        <v>63</v>
      </c>
      <c r="H242">
        <v>1</v>
      </c>
      <c r="I242" s="5">
        <v>33970</v>
      </c>
      <c r="J242" t="str" cm="1">
        <f t="array" ref="J24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42">
        <v>622</v>
      </c>
      <c r="L242" t="s">
        <v>34</v>
      </c>
      <c r="M242">
        <v>0</v>
      </c>
      <c r="N242">
        <v>1118</v>
      </c>
      <c r="O242" t="str" cm="1">
        <f t="array" ref="O24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42" t="s">
        <v>71</v>
      </c>
      <c r="Q242" s="5">
        <v>32100</v>
      </c>
      <c r="R242">
        <v>12</v>
      </c>
      <c r="S242">
        <v>10.9</v>
      </c>
      <c r="T242">
        <v>2835.55</v>
      </c>
      <c r="U242">
        <v>139.69999999999999</v>
      </c>
      <c r="V242" t="str" cm="1">
        <f t="array" ref="V24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42" t="s">
        <v>24</v>
      </c>
      <c r="X242">
        <v>131</v>
      </c>
      <c r="Y242">
        <v>1</v>
      </c>
      <c r="Z24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42" s="5">
        <f>IF(Merge1[[#This Row],[loan_applications.defaulted]]=1,Merge1[[#This Row],[loan_applications.loan_amount]],0)</f>
        <v>32100</v>
      </c>
    </row>
    <row r="243" spans="1:27" x14ac:dyDescent="0.35">
      <c r="A243" t="s">
        <v>511</v>
      </c>
      <c r="B243" t="s">
        <v>512</v>
      </c>
      <c r="C243" s="1">
        <v>45465</v>
      </c>
      <c r="D243">
        <v>48</v>
      </c>
      <c r="E243" t="s">
        <v>105</v>
      </c>
      <c r="F243" t="s">
        <v>32</v>
      </c>
      <c r="G243" t="s">
        <v>63</v>
      </c>
      <c r="H243">
        <v>22</v>
      </c>
      <c r="I243" s="5">
        <v>38878</v>
      </c>
      <c r="J243" t="str" cm="1">
        <f t="array" ref="J24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3">
        <v>556</v>
      </c>
      <c r="L243" t="s">
        <v>27</v>
      </c>
      <c r="M243">
        <v>2</v>
      </c>
      <c r="N243">
        <v>1778</v>
      </c>
      <c r="O243" t="str" cm="1">
        <f t="array" ref="O24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43" t="s">
        <v>50</v>
      </c>
      <c r="Q243" s="5">
        <v>28900</v>
      </c>
      <c r="R243">
        <v>60</v>
      </c>
      <c r="S243">
        <v>11.63</v>
      </c>
      <c r="T243">
        <v>637.47</v>
      </c>
      <c r="U243">
        <v>74.599999999999994</v>
      </c>
      <c r="V243" t="str" cm="1">
        <f t="array" ref="V24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43" t="s">
        <v>24</v>
      </c>
      <c r="X243">
        <v>116</v>
      </c>
      <c r="Y243">
        <v>1</v>
      </c>
      <c r="Z24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43" s="5">
        <f>IF(Merge1[[#This Row],[loan_applications.defaulted]]=1,Merge1[[#This Row],[loan_applications.loan_amount]],0)</f>
        <v>28900</v>
      </c>
    </row>
    <row r="244" spans="1:27" x14ac:dyDescent="0.35">
      <c r="A244" t="s">
        <v>513</v>
      </c>
      <c r="B244" t="s">
        <v>514</v>
      </c>
      <c r="C244" s="1">
        <v>45411</v>
      </c>
      <c r="D244">
        <v>52</v>
      </c>
      <c r="E244" t="s">
        <v>125</v>
      </c>
      <c r="F244" t="s">
        <v>32</v>
      </c>
      <c r="G244" t="s">
        <v>26</v>
      </c>
      <c r="H244">
        <v>21</v>
      </c>
      <c r="I244" s="5">
        <v>51649</v>
      </c>
      <c r="J244" t="str" cm="1">
        <f t="array" ref="J24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4">
        <v>802</v>
      </c>
      <c r="L244" t="s">
        <v>34</v>
      </c>
      <c r="M244">
        <v>2</v>
      </c>
      <c r="N244">
        <v>1766</v>
      </c>
      <c r="O244" t="str" cm="1">
        <f t="array" ref="O24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44" t="s">
        <v>50</v>
      </c>
      <c r="Q244" s="5">
        <v>15500</v>
      </c>
      <c r="R244">
        <v>48</v>
      </c>
      <c r="S244">
        <v>7.34</v>
      </c>
      <c r="T244">
        <v>373.62</v>
      </c>
      <c r="U244">
        <v>49.7</v>
      </c>
      <c r="V244" t="str" cm="1">
        <f t="array" ref="V24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44" t="s">
        <v>91</v>
      </c>
      <c r="X244">
        <v>30</v>
      </c>
      <c r="Y244">
        <v>0</v>
      </c>
      <c r="Z244" s="5">
        <f>IF(Merge1[[#This Row],[loan_applications.defaulted]]=0,Merge1[[#This Row],[loan_applications.loan_amount]]*(Merge1[[#This Row],[loan_applications.interest_rate]]/100)*(Merge1[[#This Row],[loan_applications.term_months]]/12),0)</f>
        <v>4550.7999999999993</v>
      </c>
      <c r="AA244" s="5">
        <f>IF(Merge1[[#This Row],[loan_applications.defaulted]]=1,Merge1[[#This Row],[loan_applications.loan_amount]],0)</f>
        <v>0</v>
      </c>
    </row>
    <row r="245" spans="1:27" x14ac:dyDescent="0.35">
      <c r="A245" t="s">
        <v>515</v>
      </c>
      <c r="B245" t="s">
        <v>514</v>
      </c>
      <c r="C245" s="1">
        <v>45561</v>
      </c>
      <c r="D245">
        <v>52</v>
      </c>
      <c r="E245" t="s">
        <v>125</v>
      </c>
      <c r="F245" t="s">
        <v>32</v>
      </c>
      <c r="G245" t="s">
        <v>26</v>
      </c>
      <c r="H245">
        <v>21</v>
      </c>
      <c r="I245" s="5">
        <v>51649</v>
      </c>
      <c r="J245" t="str" cm="1">
        <f t="array" ref="J24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5">
        <v>802</v>
      </c>
      <c r="L245" t="s">
        <v>34</v>
      </c>
      <c r="M245">
        <v>2</v>
      </c>
      <c r="N245">
        <v>1766</v>
      </c>
      <c r="O245" t="str" cm="1">
        <f t="array" ref="O24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45" t="s">
        <v>37</v>
      </c>
      <c r="Q245" s="5">
        <v>46500</v>
      </c>
      <c r="R245">
        <v>36</v>
      </c>
      <c r="S245">
        <v>11.15</v>
      </c>
      <c r="T245">
        <v>1525.66</v>
      </c>
      <c r="U245">
        <v>76.5</v>
      </c>
      <c r="V245" t="str" cm="1">
        <f t="array" ref="V24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45" t="s">
        <v>41</v>
      </c>
      <c r="X245">
        <v>0</v>
      </c>
      <c r="Y245">
        <v>0</v>
      </c>
      <c r="Z245" s="5">
        <f>IF(Merge1[[#This Row],[loan_applications.defaulted]]=0,Merge1[[#This Row],[loan_applications.loan_amount]]*(Merge1[[#This Row],[loan_applications.interest_rate]]/100)*(Merge1[[#This Row],[loan_applications.term_months]]/12),0)</f>
        <v>15554.25</v>
      </c>
      <c r="AA245" s="5">
        <f>IF(Merge1[[#This Row],[loan_applications.defaulted]]=1,Merge1[[#This Row],[loan_applications.loan_amount]],0)</f>
        <v>0</v>
      </c>
    </row>
    <row r="246" spans="1:27" x14ac:dyDescent="0.35">
      <c r="A246" t="s">
        <v>516</v>
      </c>
      <c r="B246" t="s">
        <v>517</v>
      </c>
      <c r="C246" s="1">
        <v>45742</v>
      </c>
      <c r="D246">
        <v>63</v>
      </c>
      <c r="E246" t="s">
        <v>51</v>
      </c>
      <c r="F246" t="s">
        <v>62</v>
      </c>
      <c r="G246" t="s">
        <v>26</v>
      </c>
      <c r="H246">
        <v>17</v>
      </c>
      <c r="I246" s="5">
        <v>96142</v>
      </c>
      <c r="J246" t="str" cm="1">
        <f t="array" ref="J24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6">
        <v>666</v>
      </c>
      <c r="L246" t="s">
        <v>34</v>
      </c>
      <c r="M246">
        <v>3</v>
      </c>
      <c r="N246">
        <v>4335</v>
      </c>
      <c r="O246" t="str" cm="1">
        <f t="array" ref="O24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46" t="s">
        <v>50</v>
      </c>
      <c r="Q246" s="5">
        <v>49700</v>
      </c>
      <c r="R246">
        <v>24</v>
      </c>
      <c r="S246">
        <v>11.68</v>
      </c>
      <c r="T246">
        <v>2332.13</v>
      </c>
      <c r="U246">
        <v>83.2</v>
      </c>
      <c r="V246" t="str" cm="1">
        <f t="array" ref="V24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46" t="s">
        <v>24</v>
      </c>
      <c r="X246">
        <v>68</v>
      </c>
      <c r="Y246">
        <v>1</v>
      </c>
      <c r="Z24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46" s="5">
        <f>IF(Merge1[[#This Row],[loan_applications.defaulted]]=1,Merge1[[#This Row],[loan_applications.loan_amount]],0)</f>
        <v>49700</v>
      </c>
    </row>
    <row r="247" spans="1:27" x14ac:dyDescent="0.35">
      <c r="A247" t="s">
        <v>518</v>
      </c>
      <c r="B247" t="s">
        <v>519</v>
      </c>
      <c r="C247" s="1">
        <v>45798</v>
      </c>
      <c r="D247">
        <v>40</v>
      </c>
      <c r="E247" t="s">
        <v>61</v>
      </c>
      <c r="F247" t="s">
        <v>62</v>
      </c>
      <c r="G247" t="s">
        <v>16</v>
      </c>
      <c r="H247">
        <v>11</v>
      </c>
      <c r="I247" s="5">
        <v>96556</v>
      </c>
      <c r="J247" t="str" cm="1">
        <f t="array" ref="J24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47">
        <v>785</v>
      </c>
      <c r="L247" t="s">
        <v>34</v>
      </c>
      <c r="M247">
        <v>2</v>
      </c>
      <c r="N247">
        <v>1502</v>
      </c>
      <c r="O247" t="str" cm="1">
        <f t="array" ref="O24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47" t="s">
        <v>50</v>
      </c>
      <c r="Q247" s="5">
        <v>10100</v>
      </c>
      <c r="R247">
        <v>48</v>
      </c>
      <c r="S247">
        <v>9.1</v>
      </c>
      <c r="T247">
        <v>251.82</v>
      </c>
      <c r="U247">
        <v>21.8</v>
      </c>
      <c r="V247" t="str" cm="1">
        <f t="array" ref="V24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47" t="s">
        <v>24</v>
      </c>
      <c r="X247">
        <v>121</v>
      </c>
      <c r="Y247">
        <v>1</v>
      </c>
      <c r="Z24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47" s="5">
        <f>IF(Merge1[[#This Row],[loan_applications.defaulted]]=1,Merge1[[#This Row],[loan_applications.loan_amount]],0)</f>
        <v>10100</v>
      </c>
    </row>
    <row r="248" spans="1:27" x14ac:dyDescent="0.35">
      <c r="A248" t="s">
        <v>520</v>
      </c>
      <c r="B248" t="s">
        <v>521</v>
      </c>
      <c r="C248" s="1">
        <v>45387</v>
      </c>
      <c r="D248">
        <v>29</v>
      </c>
      <c r="E248" t="s">
        <v>57</v>
      </c>
      <c r="F248" t="s">
        <v>32</v>
      </c>
      <c r="G248" t="s">
        <v>26</v>
      </c>
      <c r="H248">
        <v>5</v>
      </c>
      <c r="I248" s="5">
        <v>97749</v>
      </c>
      <c r="J248" t="str" cm="1">
        <f t="array" ref="J24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48">
        <v>742</v>
      </c>
      <c r="L248" t="s">
        <v>17</v>
      </c>
      <c r="M248">
        <v>0</v>
      </c>
      <c r="N248">
        <v>578</v>
      </c>
      <c r="O248" t="str" cm="1">
        <f t="array" ref="O24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48" t="s">
        <v>30</v>
      </c>
      <c r="Q248" s="5">
        <v>25700</v>
      </c>
      <c r="R248">
        <v>24</v>
      </c>
      <c r="S248">
        <v>8.25</v>
      </c>
      <c r="T248">
        <v>1165.27</v>
      </c>
      <c r="U248">
        <v>21.4</v>
      </c>
      <c r="V248" t="str" cm="1">
        <f t="array" ref="V24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48" t="s">
        <v>21</v>
      </c>
      <c r="X248">
        <v>0</v>
      </c>
      <c r="Y248">
        <v>0</v>
      </c>
      <c r="Z248" s="5">
        <f>IF(Merge1[[#This Row],[loan_applications.defaulted]]=0,Merge1[[#This Row],[loan_applications.loan_amount]]*(Merge1[[#This Row],[loan_applications.interest_rate]]/100)*(Merge1[[#This Row],[loan_applications.term_months]]/12),0)</f>
        <v>4240.5</v>
      </c>
      <c r="AA248" s="5">
        <f>IF(Merge1[[#This Row],[loan_applications.defaulted]]=1,Merge1[[#This Row],[loan_applications.loan_amount]],0)</f>
        <v>0</v>
      </c>
    </row>
    <row r="249" spans="1:27" x14ac:dyDescent="0.35">
      <c r="A249" t="s">
        <v>522</v>
      </c>
      <c r="B249" t="s">
        <v>521</v>
      </c>
      <c r="C249" s="1">
        <v>45296</v>
      </c>
      <c r="D249">
        <v>29</v>
      </c>
      <c r="E249" t="s">
        <v>57</v>
      </c>
      <c r="F249" t="s">
        <v>32</v>
      </c>
      <c r="G249" t="s">
        <v>26</v>
      </c>
      <c r="H249">
        <v>5</v>
      </c>
      <c r="I249" s="5">
        <v>97749</v>
      </c>
      <c r="J249" t="str" cm="1">
        <f t="array" ref="J24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49">
        <v>742</v>
      </c>
      <c r="L249" t="s">
        <v>17</v>
      </c>
      <c r="M249">
        <v>0</v>
      </c>
      <c r="N249">
        <v>578</v>
      </c>
      <c r="O249" t="str" cm="1">
        <f t="array" ref="O24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49" t="s">
        <v>30</v>
      </c>
      <c r="Q249" s="5">
        <v>29000</v>
      </c>
      <c r="R249">
        <v>60</v>
      </c>
      <c r="S249">
        <v>8.6999999999999993</v>
      </c>
      <c r="T249">
        <v>597.78</v>
      </c>
      <c r="U249">
        <v>14.4</v>
      </c>
      <c r="V249" t="str" cm="1">
        <f t="array" ref="V24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249" t="s">
        <v>41</v>
      </c>
      <c r="X249">
        <v>0</v>
      </c>
      <c r="Y249">
        <v>0</v>
      </c>
      <c r="Z249" s="5">
        <f>IF(Merge1[[#This Row],[loan_applications.defaulted]]=0,Merge1[[#This Row],[loan_applications.loan_amount]]*(Merge1[[#This Row],[loan_applications.interest_rate]]/100)*(Merge1[[#This Row],[loan_applications.term_months]]/12),0)</f>
        <v>12615</v>
      </c>
      <c r="AA249" s="5">
        <f>IF(Merge1[[#This Row],[loan_applications.defaulted]]=1,Merge1[[#This Row],[loan_applications.loan_amount]],0)</f>
        <v>0</v>
      </c>
    </row>
    <row r="250" spans="1:27" x14ac:dyDescent="0.35">
      <c r="A250" t="s">
        <v>523</v>
      </c>
      <c r="B250" t="s">
        <v>524</v>
      </c>
      <c r="C250" s="1">
        <v>45416</v>
      </c>
      <c r="D250">
        <v>67</v>
      </c>
      <c r="E250" t="s">
        <v>109</v>
      </c>
      <c r="F250" t="s">
        <v>15</v>
      </c>
      <c r="G250" t="s">
        <v>75</v>
      </c>
      <c r="H250">
        <v>13</v>
      </c>
      <c r="I250" s="5">
        <v>27294</v>
      </c>
      <c r="J250" t="str" cm="1">
        <f t="array" ref="J25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50">
        <v>770</v>
      </c>
      <c r="L250" t="s">
        <v>27</v>
      </c>
      <c r="M250">
        <v>0</v>
      </c>
      <c r="N250">
        <v>752</v>
      </c>
      <c r="O250" t="str" cm="1">
        <f t="array" ref="O25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50" t="s">
        <v>20</v>
      </c>
      <c r="Q250" s="5">
        <v>27200</v>
      </c>
      <c r="R250">
        <v>12</v>
      </c>
      <c r="S250">
        <v>8.59</v>
      </c>
      <c r="T250">
        <v>2373.5100000000002</v>
      </c>
      <c r="U250">
        <v>137.4</v>
      </c>
      <c r="V250" t="str" cm="1">
        <f t="array" ref="V25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50" t="s">
        <v>21</v>
      </c>
      <c r="X250">
        <v>0</v>
      </c>
      <c r="Y250">
        <v>0</v>
      </c>
      <c r="Z250" s="5">
        <f>IF(Merge1[[#This Row],[loan_applications.defaulted]]=0,Merge1[[#This Row],[loan_applications.loan_amount]]*(Merge1[[#This Row],[loan_applications.interest_rate]]/100)*(Merge1[[#This Row],[loan_applications.term_months]]/12),0)</f>
        <v>2336.48</v>
      </c>
      <c r="AA250" s="5">
        <f>IF(Merge1[[#This Row],[loan_applications.defaulted]]=1,Merge1[[#This Row],[loan_applications.loan_amount]],0)</f>
        <v>0</v>
      </c>
    </row>
    <row r="251" spans="1:27" x14ac:dyDescent="0.35">
      <c r="A251" t="s">
        <v>525</v>
      </c>
      <c r="B251" t="s">
        <v>526</v>
      </c>
      <c r="C251" s="1">
        <v>45567</v>
      </c>
      <c r="D251">
        <v>39</v>
      </c>
      <c r="E251" t="s">
        <v>83</v>
      </c>
      <c r="F251" t="s">
        <v>15</v>
      </c>
      <c r="G251" t="s">
        <v>63</v>
      </c>
      <c r="H251">
        <v>1</v>
      </c>
      <c r="I251" s="5">
        <v>23680</v>
      </c>
      <c r="J251" t="str" cm="1">
        <f t="array" ref="J25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51">
        <v>649</v>
      </c>
      <c r="L251" t="s">
        <v>17</v>
      </c>
      <c r="M251">
        <v>0</v>
      </c>
      <c r="N251">
        <v>328</v>
      </c>
      <c r="O251" t="str" cm="1">
        <f t="array" ref="O25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51" t="s">
        <v>50</v>
      </c>
      <c r="Q251" s="5">
        <v>4700</v>
      </c>
      <c r="R251">
        <v>48</v>
      </c>
      <c r="S251">
        <v>11.45</v>
      </c>
      <c r="T251">
        <v>122.5</v>
      </c>
      <c r="U251">
        <v>22.8</v>
      </c>
      <c r="V251" t="str" cm="1">
        <f t="array" ref="V25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51" t="s">
        <v>21</v>
      </c>
      <c r="X251">
        <v>0</v>
      </c>
      <c r="Y251">
        <v>0</v>
      </c>
      <c r="Z251" s="5">
        <f>IF(Merge1[[#This Row],[loan_applications.defaulted]]=0,Merge1[[#This Row],[loan_applications.loan_amount]]*(Merge1[[#This Row],[loan_applications.interest_rate]]/100)*(Merge1[[#This Row],[loan_applications.term_months]]/12),0)</f>
        <v>2152.6</v>
      </c>
      <c r="AA251" s="5">
        <f>IF(Merge1[[#This Row],[loan_applications.defaulted]]=1,Merge1[[#This Row],[loan_applications.loan_amount]],0)</f>
        <v>0</v>
      </c>
    </row>
    <row r="252" spans="1:27" x14ac:dyDescent="0.35">
      <c r="A252" t="s">
        <v>527</v>
      </c>
      <c r="B252" t="s">
        <v>526</v>
      </c>
      <c r="C252" s="1">
        <v>45341</v>
      </c>
      <c r="D252">
        <v>39</v>
      </c>
      <c r="E252" t="s">
        <v>83</v>
      </c>
      <c r="F252" t="s">
        <v>15</v>
      </c>
      <c r="G252" t="s">
        <v>63</v>
      </c>
      <c r="H252">
        <v>1</v>
      </c>
      <c r="I252" s="5">
        <v>23680</v>
      </c>
      <c r="J252" t="str" cm="1">
        <f t="array" ref="J25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52">
        <v>649</v>
      </c>
      <c r="L252" t="s">
        <v>17</v>
      </c>
      <c r="M252">
        <v>0</v>
      </c>
      <c r="N252">
        <v>328</v>
      </c>
      <c r="O252" t="str" cm="1">
        <f t="array" ref="O25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52" t="s">
        <v>71</v>
      </c>
      <c r="Q252" s="5">
        <v>12400</v>
      </c>
      <c r="R252">
        <v>60</v>
      </c>
      <c r="S252">
        <v>9.83</v>
      </c>
      <c r="T252">
        <v>262.43</v>
      </c>
      <c r="U252">
        <v>29.9</v>
      </c>
      <c r="V252" t="str" cm="1">
        <f t="array" ref="V25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52" t="s">
        <v>21</v>
      </c>
      <c r="X252">
        <v>0</v>
      </c>
      <c r="Y252">
        <v>0</v>
      </c>
      <c r="Z252" s="5">
        <f>IF(Merge1[[#This Row],[loan_applications.defaulted]]=0,Merge1[[#This Row],[loan_applications.loan_amount]]*(Merge1[[#This Row],[loan_applications.interest_rate]]/100)*(Merge1[[#This Row],[loan_applications.term_months]]/12),0)</f>
        <v>6094.6</v>
      </c>
      <c r="AA252" s="5">
        <f>IF(Merge1[[#This Row],[loan_applications.defaulted]]=1,Merge1[[#This Row],[loan_applications.loan_amount]],0)</f>
        <v>0</v>
      </c>
    </row>
    <row r="253" spans="1:27" x14ac:dyDescent="0.35">
      <c r="A253" t="s">
        <v>528</v>
      </c>
      <c r="B253" t="s">
        <v>529</v>
      </c>
      <c r="C253" s="1">
        <v>45537</v>
      </c>
      <c r="D253">
        <v>28</v>
      </c>
      <c r="E253" t="s">
        <v>61</v>
      </c>
      <c r="F253" t="s">
        <v>32</v>
      </c>
      <c r="G253" t="s">
        <v>16</v>
      </c>
      <c r="H253">
        <v>0</v>
      </c>
      <c r="I253" s="5">
        <v>47014</v>
      </c>
      <c r="J253" t="str" cm="1">
        <f t="array" ref="J25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53">
        <v>600</v>
      </c>
      <c r="L253" t="s">
        <v>17</v>
      </c>
      <c r="M253">
        <v>0</v>
      </c>
      <c r="N253">
        <v>1474</v>
      </c>
      <c r="O253" t="str" cm="1">
        <f t="array" ref="O25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53" t="s">
        <v>30</v>
      </c>
      <c r="Q253" s="5">
        <v>20300</v>
      </c>
      <c r="R253">
        <v>48</v>
      </c>
      <c r="S253">
        <v>11.28</v>
      </c>
      <c r="T253">
        <v>527.42999999999995</v>
      </c>
      <c r="U253">
        <v>51.1</v>
      </c>
      <c r="V253" t="str" cm="1">
        <f t="array" ref="V25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53" t="s">
        <v>91</v>
      </c>
      <c r="X253">
        <v>15</v>
      </c>
      <c r="Y253">
        <v>0</v>
      </c>
      <c r="Z253" s="5">
        <f>IF(Merge1[[#This Row],[loan_applications.defaulted]]=0,Merge1[[#This Row],[loan_applications.loan_amount]]*(Merge1[[#This Row],[loan_applications.interest_rate]]/100)*(Merge1[[#This Row],[loan_applications.term_months]]/12),0)</f>
        <v>9159.36</v>
      </c>
      <c r="AA253" s="5">
        <f>IF(Merge1[[#This Row],[loan_applications.defaulted]]=1,Merge1[[#This Row],[loan_applications.loan_amount]],0)</f>
        <v>0</v>
      </c>
    </row>
    <row r="254" spans="1:27" x14ac:dyDescent="0.35">
      <c r="A254" t="s">
        <v>530</v>
      </c>
      <c r="B254" t="s">
        <v>531</v>
      </c>
      <c r="C254" s="1">
        <v>45794</v>
      </c>
      <c r="D254">
        <v>52</v>
      </c>
      <c r="E254" t="s">
        <v>61</v>
      </c>
      <c r="F254" t="s">
        <v>32</v>
      </c>
      <c r="G254" t="s">
        <v>26</v>
      </c>
      <c r="H254">
        <v>18</v>
      </c>
      <c r="I254" s="5">
        <v>102097</v>
      </c>
      <c r="J254" t="str" cm="1">
        <f t="array" ref="J25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54">
        <v>709</v>
      </c>
      <c r="L254" t="s">
        <v>34</v>
      </c>
      <c r="M254">
        <v>2</v>
      </c>
      <c r="N254">
        <v>3200</v>
      </c>
      <c r="O254" t="str" cm="1">
        <f t="array" ref="O25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54" t="s">
        <v>50</v>
      </c>
      <c r="Q254" s="5">
        <v>21300</v>
      </c>
      <c r="R254">
        <v>24</v>
      </c>
      <c r="S254">
        <v>8.7899999999999991</v>
      </c>
      <c r="T254">
        <v>971.03</v>
      </c>
      <c r="U254">
        <v>49</v>
      </c>
      <c r="V254" t="str" cm="1">
        <f t="array" ref="V25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54" t="s">
        <v>21</v>
      </c>
      <c r="X254">
        <v>0</v>
      </c>
      <c r="Y254">
        <v>0</v>
      </c>
      <c r="Z254" s="5">
        <f>IF(Merge1[[#This Row],[loan_applications.defaulted]]=0,Merge1[[#This Row],[loan_applications.loan_amount]]*(Merge1[[#This Row],[loan_applications.interest_rate]]/100)*(Merge1[[#This Row],[loan_applications.term_months]]/12),0)</f>
        <v>3744.5399999999995</v>
      </c>
      <c r="AA254" s="5">
        <f>IF(Merge1[[#This Row],[loan_applications.defaulted]]=1,Merge1[[#This Row],[loan_applications.loan_amount]],0)</f>
        <v>0</v>
      </c>
    </row>
    <row r="255" spans="1:27" x14ac:dyDescent="0.35">
      <c r="A255" t="s">
        <v>532</v>
      </c>
      <c r="B255" t="s">
        <v>531</v>
      </c>
      <c r="C255" s="1">
        <v>45793</v>
      </c>
      <c r="D255">
        <v>52</v>
      </c>
      <c r="E255" t="s">
        <v>61</v>
      </c>
      <c r="F255" t="s">
        <v>32</v>
      </c>
      <c r="G255" t="s">
        <v>26</v>
      </c>
      <c r="H255">
        <v>18</v>
      </c>
      <c r="I255" s="5">
        <v>102097</v>
      </c>
      <c r="J255" t="str" cm="1">
        <f t="array" ref="J25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55">
        <v>709</v>
      </c>
      <c r="L255" t="s">
        <v>34</v>
      </c>
      <c r="M255">
        <v>2</v>
      </c>
      <c r="N255">
        <v>3200</v>
      </c>
      <c r="O255" t="str" cm="1">
        <f t="array" ref="O25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55" t="s">
        <v>71</v>
      </c>
      <c r="Q255" s="5">
        <v>31800</v>
      </c>
      <c r="R255">
        <v>36</v>
      </c>
      <c r="S255">
        <v>10.75</v>
      </c>
      <c r="T255">
        <v>1037.33</v>
      </c>
      <c r="U255">
        <v>49.8</v>
      </c>
      <c r="V255" t="str" cm="1">
        <f t="array" ref="V25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55" t="s">
        <v>41</v>
      </c>
      <c r="X255">
        <v>0</v>
      </c>
      <c r="Y255">
        <v>0</v>
      </c>
      <c r="Z255" s="5">
        <f>IF(Merge1[[#This Row],[loan_applications.defaulted]]=0,Merge1[[#This Row],[loan_applications.loan_amount]]*(Merge1[[#This Row],[loan_applications.interest_rate]]/100)*(Merge1[[#This Row],[loan_applications.term_months]]/12),0)</f>
        <v>10255.5</v>
      </c>
      <c r="AA255" s="5">
        <f>IF(Merge1[[#This Row],[loan_applications.defaulted]]=1,Merge1[[#This Row],[loan_applications.loan_amount]],0)</f>
        <v>0</v>
      </c>
    </row>
    <row r="256" spans="1:27" x14ac:dyDescent="0.35">
      <c r="A256" t="s">
        <v>533</v>
      </c>
      <c r="B256" t="s">
        <v>534</v>
      </c>
      <c r="C256" s="1">
        <v>45728</v>
      </c>
      <c r="D256">
        <v>36</v>
      </c>
      <c r="E256" t="s">
        <v>203</v>
      </c>
      <c r="F256" t="s">
        <v>32</v>
      </c>
      <c r="G256" t="s">
        <v>16</v>
      </c>
      <c r="H256">
        <v>13</v>
      </c>
      <c r="I256" s="5">
        <v>100359</v>
      </c>
      <c r="J256" t="str" cm="1">
        <f t="array" ref="J25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56">
        <v>634</v>
      </c>
      <c r="L256" t="s">
        <v>17</v>
      </c>
      <c r="M256">
        <v>3</v>
      </c>
      <c r="N256">
        <v>570</v>
      </c>
      <c r="O256" t="str" cm="1">
        <f t="array" ref="O25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56" t="s">
        <v>54</v>
      </c>
      <c r="Q256" s="5">
        <v>40900</v>
      </c>
      <c r="R256">
        <v>60</v>
      </c>
      <c r="S256">
        <v>10.37</v>
      </c>
      <c r="T256">
        <v>876.47</v>
      </c>
      <c r="U256">
        <v>17.3</v>
      </c>
      <c r="V256" t="str" cm="1">
        <f t="array" ref="V25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256" t="s">
        <v>24</v>
      </c>
      <c r="X256">
        <v>161</v>
      </c>
      <c r="Y256">
        <v>1</v>
      </c>
      <c r="Z25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56" s="5">
        <f>IF(Merge1[[#This Row],[loan_applications.defaulted]]=1,Merge1[[#This Row],[loan_applications.loan_amount]],0)</f>
        <v>40900</v>
      </c>
    </row>
    <row r="257" spans="1:27" x14ac:dyDescent="0.35">
      <c r="A257" t="s">
        <v>535</v>
      </c>
      <c r="B257" t="s">
        <v>536</v>
      </c>
      <c r="C257" s="1">
        <v>45831</v>
      </c>
      <c r="D257">
        <v>47</v>
      </c>
      <c r="E257" t="s">
        <v>157</v>
      </c>
      <c r="F257" t="s">
        <v>62</v>
      </c>
      <c r="G257" t="s">
        <v>26</v>
      </c>
      <c r="H257">
        <v>1</v>
      </c>
      <c r="I257" s="5">
        <v>118864</v>
      </c>
      <c r="J257" t="str" cm="1">
        <f t="array" ref="J25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57">
        <v>693</v>
      </c>
      <c r="L257" t="s">
        <v>27</v>
      </c>
      <c r="M257">
        <v>2</v>
      </c>
      <c r="N257">
        <v>5093</v>
      </c>
      <c r="O257" t="str" cm="1">
        <f t="array" ref="O25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57" t="s">
        <v>20</v>
      </c>
      <c r="Q257" s="5">
        <v>33100</v>
      </c>
      <c r="R257">
        <v>24</v>
      </c>
      <c r="S257">
        <v>13.1</v>
      </c>
      <c r="T257">
        <v>1575.19</v>
      </c>
      <c r="U257">
        <v>67.3</v>
      </c>
      <c r="V257" t="str" cm="1">
        <f t="array" ref="V25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57" t="s">
        <v>41</v>
      </c>
      <c r="X257">
        <v>0</v>
      </c>
      <c r="Y257">
        <v>0</v>
      </c>
      <c r="Z257" s="5">
        <f>IF(Merge1[[#This Row],[loan_applications.defaulted]]=0,Merge1[[#This Row],[loan_applications.loan_amount]]*(Merge1[[#This Row],[loan_applications.interest_rate]]/100)*(Merge1[[#This Row],[loan_applications.term_months]]/12),0)</f>
        <v>8672.2000000000007</v>
      </c>
      <c r="AA257" s="5">
        <f>IF(Merge1[[#This Row],[loan_applications.defaulted]]=1,Merge1[[#This Row],[loan_applications.loan_amount]],0)</f>
        <v>0</v>
      </c>
    </row>
    <row r="258" spans="1:27" x14ac:dyDescent="0.35">
      <c r="A258" t="s">
        <v>537</v>
      </c>
      <c r="B258" t="s">
        <v>538</v>
      </c>
      <c r="C258" s="1">
        <v>45827</v>
      </c>
      <c r="D258">
        <v>43</v>
      </c>
      <c r="E258" t="s">
        <v>95</v>
      </c>
      <c r="F258" t="s">
        <v>68</v>
      </c>
      <c r="G258" t="s">
        <v>75</v>
      </c>
      <c r="H258">
        <v>4</v>
      </c>
      <c r="I258" s="5">
        <v>32700</v>
      </c>
      <c r="J258" t="str" cm="1">
        <f t="array" ref="J25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58">
        <v>777</v>
      </c>
      <c r="L258" t="s">
        <v>17</v>
      </c>
      <c r="M258">
        <v>0</v>
      </c>
      <c r="N258">
        <v>1238</v>
      </c>
      <c r="O258" t="str" cm="1">
        <f t="array" ref="O25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58" t="s">
        <v>20</v>
      </c>
      <c r="Q258" s="5">
        <v>21300</v>
      </c>
      <c r="R258">
        <v>36</v>
      </c>
      <c r="S258">
        <v>11.26</v>
      </c>
      <c r="T258">
        <v>699.96</v>
      </c>
      <c r="U258">
        <v>71.099999999999994</v>
      </c>
      <c r="V258" t="str" cm="1">
        <f t="array" ref="V25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58" t="s">
        <v>41</v>
      </c>
      <c r="X258">
        <v>0</v>
      </c>
      <c r="Y258">
        <v>0</v>
      </c>
      <c r="Z258" s="5">
        <f>IF(Merge1[[#This Row],[loan_applications.defaulted]]=0,Merge1[[#This Row],[loan_applications.loan_amount]]*(Merge1[[#This Row],[loan_applications.interest_rate]]/100)*(Merge1[[#This Row],[loan_applications.term_months]]/12),0)</f>
        <v>7195.1399999999994</v>
      </c>
      <c r="AA258" s="5">
        <f>IF(Merge1[[#This Row],[loan_applications.defaulted]]=1,Merge1[[#This Row],[loan_applications.loan_amount]],0)</f>
        <v>0</v>
      </c>
    </row>
    <row r="259" spans="1:27" x14ac:dyDescent="0.35">
      <c r="A259" t="s">
        <v>539</v>
      </c>
      <c r="B259" t="s">
        <v>540</v>
      </c>
      <c r="C259" s="1">
        <v>45551</v>
      </c>
      <c r="D259">
        <v>43</v>
      </c>
      <c r="E259" t="s">
        <v>57</v>
      </c>
      <c r="F259" t="s">
        <v>15</v>
      </c>
      <c r="G259" t="s">
        <v>26</v>
      </c>
      <c r="H259">
        <v>0</v>
      </c>
      <c r="I259" s="5">
        <v>31455</v>
      </c>
      <c r="J259" t="str" cm="1">
        <f t="array" ref="J25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59">
        <v>620</v>
      </c>
      <c r="L259" t="s">
        <v>17</v>
      </c>
      <c r="M259">
        <v>0</v>
      </c>
      <c r="N259">
        <v>1014</v>
      </c>
      <c r="O259" t="str" cm="1">
        <f t="array" ref="O25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59" t="s">
        <v>30</v>
      </c>
      <c r="Q259" s="5">
        <v>6900</v>
      </c>
      <c r="R259">
        <v>12</v>
      </c>
      <c r="S259">
        <v>11.99</v>
      </c>
      <c r="T259">
        <v>613.02</v>
      </c>
      <c r="U259">
        <v>62.1</v>
      </c>
      <c r="V259" t="str" cm="1">
        <f t="array" ref="V25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59" t="s">
        <v>24</v>
      </c>
      <c r="X259">
        <v>179</v>
      </c>
      <c r="Y259">
        <v>1</v>
      </c>
      <c r="Z25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59" s="5">
        <f>IF(Merge1[[#This Row],[loan_applications.defaulted]]=1,Merge1[[#This Row],[loan_applications.loan_amount]],0)</f>
        <v>6900</v>
      </c>
    </row>
    <row r="260" spans="1:27" x14ac:dyDescent="0.35">
      <c r="A260" t="s">
        <v>541</v>
      </c>
      <c r="B260" t="s">
        <v>540</v>
      </c>
      <c r="C260" s="1">
        <v>45478</v>
      </c>
      <c r="D260">
        <v>43</v>
      </c>
      <c r="E260" t="s">
        <v>57</v>
      </c>
      <c r="F260" t="s">
        <v>15</v>
      </c>
      <c r="G260" t="s">
        <v>26</v>
      </c>
      <c r="H260">
        <v>0</v>
      </c>
      <c r="I260" s="5">
        <v>31455</v>
      </c>
      <c r="J260" t="str" cm="1">
        <f t="array" ref="J26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60">
        <v>620</v>
      </c>
      <c r="L260" t="s">
        <v>17</v>
      </c>
      <c r="M260">
        <v>0</v>
      </c>
      <c r="N260">
        <v>1014</v>
      </c>
      <c r="O260" t="str" cm="1">
        <f t="array" ref="O26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60" t="s">
        <v>54</v>
      </c>
      <c r="Q260" s="5">
        <v>2600</v>
      </c>
      <c r="R260">
        <v>48</v>
      </c>
      <c r="S260">
        <v>10.56</v>
      </c>
      <c r="T260">
        <v>66.64</v>
      </c>
      <c r="U260">
        <v>41.2</v>
      </c>
      <c r="V260" t="str" cm="1">
        <f t="array" ref="V26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60" t="s">
        <v>41</v>
      </c>
      <c r="X260">
        <v>0</v>
      </c>
      <c r="Y260">
        <v>0</v>
      </c>
      <c r="Z260" s="5">
        <f>IF(Merge1[[#This Row],[loan_applications.defaulted]]=0,Merge1[[#This Row],[loan_applications.loan_amount]]*(Merge1[[#This Row],[loan_applications.interest_rate]]/100)*(Merge1[[#This Row],[loan_applications.term_months]]/12),0)</f>
        <v>1098.24</v>
      </c>
      <c r="AA260" s="5">
        <f>IF(Merge1[[#This Row],[loan_applications.defaulted]]=1,Merge1[[#This Row],[loan_applications.loan_amount]],0)</f>
        <v>0</v>
      </c>
    </row>
    <row r="261" spans="1:27" x14ac:dyDescent="0.35">
      <c r="A261" t="s">
        <v>542</v>
      </c>
      <c r="B261" t="s">
        <v>543</v>
      </c>
      <c r="C261" s="1">
        <v>45563</v>
      </c>
      <c r="D261">
        <v>34</v>
      </c>
      <c r="E261" t="s">
        <v>67</v>
      </c>
      <c r="F261" t="s">
        <v>15</v>
      </c>
      <c r="G261" t="s">
        <v>33</v>
      </c>
      <c r="H261">
        <v>8</v>
      </c>
      <c r="I261" s="5">
        <v>53975</v>
      </c>
      <c r="J261" t="str" cm="1">
        <f t="array" ref="J26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61">
        <v>748</v>
      </c>
      <c r="L261" t="s">
        <v>34</v>
      </c>
      <c r="M261">
        <v>2</v>
      </c>
      <c r="N261">
        <v>640</v>
      </c>
      <c r="O261" t="str" cm="1">
        <f t="array" ref="O26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61" t="s">
        <v>45</v>
      </c>
      <c r="Q261" s="5">
        <v>23800</v>
      </c>
      <c r="R261">
        <v>48</v>
      </c>
      <c r="S261">
        <v>10.65</v>
      </c>
      <c r="T261">
        <v>611.09</v>
      </c>
      <c r="U261">
        <v>27.8</v>
      </c>
      <c r="V261" t="str" cm="1">
        <f t="array" ref="V26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61" t="s">
        <v>91</v>
      </c>
      <c r="X261">
        <v>15</v>
      </c>
      <c r="Y261">
        <v>0</v>
      </c>
      <c r="Z261" s="5">
        <f>IF(Merge1[[#This Row],[loan_applications.defaulted]]=0,Merge1[[#This Row],[loan_applications.loan_amount]]*(Merge1[[#This Row],[loan_applications.interest_rate]]/100)*(Merge1[[#This Row],[loan_applications.term_months]]/12),0)</f>
        <v>10138.799999999999</v>
      </c>
      <c r="AA261" s="5">
        <f>IF(Merge1[[#This Row],[loan_applications.defaulted]]=1,Merge1[[#This Row],[loan_applications.loan_amount]],0)</f>
        <v>0</v>
      </c>
    </row>
    <row r="262" spans="1:27" x14ac:dyDescent="0.35">
      <c r="A262" t="s">
        <v>544</v>
      </c>
      <c r="B262" t="s">
        <v>545</v>
      </c>
      <c r="C262" s="1">
        <v>45310</v>
      </c>
      <c r="D262">
        <v>30</v>
      </c>
      <c r="E262" t="s">
        <v>31</v>
      </c>
      <c r="F262" t="s">
        <v>32</v>
      </c>
      <c r="G262" t="s">
        <v>75</v>
      </c>
      <c r="H262">
        <v>3</v>
      </c>
      <c r="I262" s="5">
        <v>24621</v>
      </c>
      <c r="J262" t="str" cm="1">
        <f t="array" ref="J26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62">
        <v>721</v>
      </c>
      <c r="L262" t="s">
        <v>34</v>
      </c>
      <c r="M262">
        <v>4</v>
      </c>
      <c r="N262">
        <v>412</v>
      </c>
      <c r="O262" t="str" cm="1">
        <f t="array" ref="O26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62" t="s">
        <v>54</v>
      </c>
      <c r="Q262" s="5">
        <v>18600</v>
      </c>
      <c r="R262">
        <v>12</v>
      </c>
      <c r="S262">
        <v>10.15</v>
      </c>
      <c r="T262">
        <v>1636.53</v>
      </c>
      <c r="U262">
        <v>99.8</v>
      </c>
      <c r="V262" t="str" cm="1">
        <f t="array" ref="V26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62" t="s">
        <v>24</v>
      </c>
      <c r="X262">
        <v>59</v>
      </c>
      <c r="Y262">
        <v>1</v>
      </c>
      <c r="Z26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62" s="5">
        <f>IF(Merge1[[#This Row],[loan_applications.defaulted]]=1,Merge1[[#This Row],[loan_applications.loan_amount]],0)</f>
        <v>18600</v>
      </c>
    </row>
    <row r="263" spans="1:27" x14ac:dyDescent="0.35">
      <c r="A263" t="s">
        <v>546</v>
      </c>
      <c r="B263" t="s">
        <v>547</v>
      </c>
      <c r="C263" s="1">
        <v>45602</v>
      </c>
      <c r="D263">
        <v>68</v>
      </c>
      <c r="E263" t="s">
        <v>95</v>
      </c>
      <c r="F263" t="s">
        <v>32</v>
      </c>
      <c r="G263" t="s">
        <v>26</v>
      </c>
      <c r="H263">
        <v>3</v>
      </c>
      <c r="I263" s="5">
        <v>63539</v>
      </c>
      <c r="J263" t="str" cm="1">
        <f t="array" ref="J26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63">
        <v>655</v>
      </c>
      <c r="L263" t="s">
        <v>17</v>
      </c>
      <c r="M263">
        <v>1</v>
      </c>
      <c r="N263">
        <v>1338</v>
      </c>
      <c r="O263" t="str" cm="1">
        <f t="array" ref="O26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63" t="s">
        <v>20</v>
      </c>
      <c r="Q263" s="5">
        <v>21400</v>
      </c>
      <c r="R263">
        <v>60</v>
      </c>
      <c r="S263">
        <v>12.71</v>
      </c>
      <c r="T263">
        <v>483.74</v>
      </c>
      <c r="U263">
        <v>34.4</v>
      </c>
      <c r="V263" t="str" cm="1">
        <f t="array" ref="V26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63" t="s">
        <v>91</v>
      </c>
      <c r="X263">
        <v>30</v>
      </c>
      <c r="Y263">
        <v>0</v>
      </c>
      <c r="Z263" s="5">
        <f>IF(Merge1[[#This Row],[loan_applications.defaulted]]=0,Merge1[[#This Row],[loan_applications.loan_amount]]*(Merge1[[#This Row],[loan_applications.interest_rate]]/100)*(Merge1[[#This Row],[loan_applications.term_months]]/12),0)</f>
        <v>13599.700000000003</v>
      </c>
      <c r="AA263" s="5">
        <f>IF(Merge1[[#This Row],[loan_applications.defaulted]]=1,Merge1[[#This Row],[loan_applications.loan_amount]],0)</f>
        <v>0</v>
      </c>
    </row>
    <row r="264" spans="1:27" x14ac:dyDescent="0.35">
      <c r="A264" t="s">
        <v>548</v>
      </c>
      <c r="B264" t="s">
        <v>549</v>
      </c>
      <c r="C264" s="1">
        <v>45406</v>
      </c>
      <c r="D264">
        <v>54</v>
      </c>
      <c r="E264" t="s">
        <v>51</v>
      </c>
      <c r="F264" t="s">
        <v>62</v>
      </c>
      <c r="G264" t="s">
        <v>33</v>
      </c>
      <c r="H264">
        <v>18</v>
      </c>
      <c r="I264" s="5">
        <v>120652</v>
      </c>
      <c r="J264" t="str" cm="1">
        <f t="array" ref="J26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64">
        <v>610</v>
      </c>
      <c r="L264" t="s">
        <v>34</v>
      </c>
      <c r="M264">
        <v>0</v>
      </c>
      <c r="N264">
        <v>1174</v>
      </c>
      <c r="O264" t="str" cm="1">
        <f t="array" ref="O26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64" t="s">
        <v>23</v>
      </c>
      <c r="Q264" s="5">
        <v>6200</v>
      </c>
      <c r="R264">
        <v>24</v>
      </c>
      <c r="S264">
        <v>9.9</v>
      </c>
      <c r="T264">
        <v>285.81</v>
      </c>
      <c r="U264">
        <v>14.5</v>
      </c>
      <c r="V264" t="str" cm="1">
        <f t="array" ref="V26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264" t="s">
        <v>41</v>
      </c>
      <c r="X264">
        <v>0</v>
      </c>
      <c r="Y264">
        <v>0</v>
      </c>
      <c r="Z264" s="5">
        <f>IF(Merge1[[#This Row],[loan_applications.defaulted]]=0,Merge1[[#This Row],[loan_applications.loan_amount]]*(Merge1[[#This Row],[loan_applications.interest_rate]]/100)*(Merge1[[#This Row],[loan_applications.term_months]]/12),0)</f>
        <v>1227.6000000000001</v>
      </c>
      <c r="AA264" s="5">
        <f>IF(Merge1[[#This Row],[loan_applications.defaulted]]=1,Merge1[[#This Row],[loan_applications.loan_amount]],0)</f>
        <v>0</v>
      </c>
    </row>
    <row r="265" spans="1:27" x14ac:dyDescent="0.35">
      <c r="A265" t="s">
        <v>550</v>
      </c>
      <c r="B265" t="s">
        <v>551</v>
      </c>
      <c r="C265" s="1">
        <v>45487</v>
      </c>
      <c r="D265">
        <v>31</v>
      </c>
      <c r="E265" t="s">
        <v>57</v>
      </c>
      <c r="F265" t="s">
        <v>32</v>
      </c>
      <c r="G265" t="s">
        <v>75</v>
      </c>
      <c r="H265">
        <v>7</v>
      </c>
      <c r="I265" s="5">
        <v>38662</v>
      </c>
      <c r="J265" t="str" cm="1">
        <f t="array" ref="J26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65">
        <v>806</v>
      </c>
      <c r="L265" t="s">
        <v>17</v>
      </c>
      <c r="M265">
        <v>2</v>
      </c>
      <c r="N265">
        <v>512</v>
      </c>
      <c r="O265" t="str" cm="1">
        <f t="array" ref="O26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65" t="s">
        <v>20</v>
      </c>
      <c r="Q265" s="5">
        <v>27800</v>
      </c>
      <c r="R265">
        <v>48</v>
      </c>
      <c r="S265">
        <v>10.78</v>
      </c>
      <c r="T265">
        <v>715.54</v>
      </c>
      <c r="U265">
        <v>38.1</v>
      </c>
      <c r="V265" t="str" cm="1">
        <f t="array" ref="V26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65" t="s">
        <v>41</v>
      </c>
      <c r="X265">
        <v>0</v>
      </c>
      <c r="Y265">
        <v>0</v>
      </c>
      <c r="Z265" s="5">
        <f>IF(Merge1[[#This Row],[loan_applications.defaulted]]=0,Merge1[[#This Row],[loan_applications.loan_amount]]*(Merge1[[#This Row],[loan_applications.interest_rate]]/100)*(Merge1[[#This Row],[loan_applications.term_months]]/12),0)</f>
        <v>11987.359999999999</v>
      </c>
      <c r="AA265" s="5">
        <f>IF(Merge1[[#This Row],[loan_applications.defaulted]]=1,Merge1[[#This Row],[loan_applications.loan_amount]],0)</f>
        <v>0</v>
      </c>
    </row>
    <row r="266" spans="1:27" x14ac:dyDescent="0.35">
      <c r="A266" t="s">
        <v>552</v>
      </c>
      <c r="B266" t="s">
        <v>553</v>
      </c>
      <c r="C266" s="1">
        <v>45774</v>
      </c>
      <c r="D266">
        <v>37</v>
      </c>
      <c r="E266" t="s">
        <v>139</v>
      </c>
      <c r="F266" t="s">
        <v>32</v>
      </c>
      <c r="G266" t="s">
        <v>63</v>
      </c>
      <c r="H266">
        <v>14</v>
      </c>
      <c r="I266" s="5">
        <v>49958</v>
      </c>
      <c r="J266" t="str" cm="1">
        <f t="array" ref="J26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66">
        <v>799</v>
      </c>
      <c r="L266" t="s">
        <v>34</v>
      </c>
      <c r="M266">
        <v>0</v>
      </c>
      <c r="N266">
        <v>1382</v>
      </c>
      <c r="O266" t="str" cm="1">
        <f t="array" ref="O26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66" t="s">
        <v>54</v>
      </c>
      <c r="Q266" s="5">
        <v>5500</v>
      </c>
      <c r="R266">
        <v>48</v>
      </c>
      <c r="S266">
        <v>11.5</v>
      </c>
      <c r="T266">
        <v>143.49</v>
      </c>
      <c r="U266">
        <v>36.6</v>
      </c>
      <c r="V266" t="str" cm="1">
        <f t="array" ref="V26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66" t="s">
        <v>24</v>
      </c>
      <c r="X266">
        <v>145</v>
      </c>
      <c r="Y266">
        <v>1</v>
      </c>
      <c r="Z26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66" s="5">
        <f>IF(Merge1[[#This Row],[loan_applications.defaulted]]=1,Merge1[[#This Row],[loan_applications.loan_amount]],0)</f>
        <v>5500</v>
      </c>
    </row>
    <row r="267" spans="1:27" x14ac:dyDescent="0.35">
      <c r="A267" t="s">
        <v>554</v>
      </c>
      <c r="B267" t="s">
        <v>555</v>
      </c>
      <c r="C267" s="1">
        <v>45300</v>
      </c>
      <c r="D267">
        <v>25</v>
      </c>
      <c r="E267" t="s">
        <v>330</v>
      </c>
      <c r="F267" t="s">
        <v>62</v>
      </c>
      <c r="G267" t="s">
        <v>33</v>
      </c>
      <c r="H267">
        <v>1</v>
      </c>
      <c r="I267" s="5">
        <v>71945</v>
      </c>
      <c r="J267" t="str" cm="1">
        <f t="array" ref="J26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67">
        <v>809</v>
      </c>
      <c r="L267" t="s">
        <v>27</v>
      </c>
      <c r="M267">
        <v>1</v>
      </c>
      <c r="N267">
        <v>648</v>
      </c>
      <c r="O267" t="str" cm="1">
        <f t="array" ref="O26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67" t="s">
        <v>56</v>
      </c>
      <c r="Q267" s="5">
        <v>39400</v>
      </c>
      <c r="R267">
        <v>48</v>
      </c>
      <c r="S267">
        <v>6.77</v>
      </c>
      <c r="T267">
        <v>939.28</v>
      </c>
      <c r="U267">
        <v>26.5</v>
      </c>
      <c r="V267" t="str" cm="1">
        <f t="array" ref="V26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67" t="s">
        <v>24</v>
      </c>
      <c r="X267">
        <v>140</v>
      </c>
      <c r="Y267">
        <v>1</v>
      </c>
      <c r="Z26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67" s="5">
        <f>IF(Merge1[[#This Row],[loan_applications.defaulted]]=1,Merge1[[#This Row],[loan_applications.loan_amount]],0)</f>
        <v>39400</v>
      </c>
    </row>
    <row r="268" spans="1:27" x14ac:dyDescent="0.35">
      <c r="A268" t="s">
        <v>556</v>
      </c>
      <c r="B268" t="s">
        <v>557</v>
      </c>
      <c r="C268" s="1">
        <v>45329</v>
      </c>
      <c r="D268">
        <v>35</v>
      </c>
      <c r="E268" t="s">
        <v>83</v>
      </c>
      <c r="F268" t="s">
        <v>62</v>
      </c>
      <c r="G268" t="s">
        <v>26</v>
      </c>
      <c r="H268">
        <v>1</v>
      </c>
      <c r="I268" s="5">
        <v>131724</v>
      </c>
      <c r="J268" t="str" cm="1">
        <f t="array" ref="J26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68">
        <v>778</v>
      </c>
      <c r="L268" t="s">
        <v>34</v>
      </c>
      <c r="M268">
        <v>1</v>
      </c>
      <c r="N268">
        <v>3643</v>
      </c>
      <c r="O268" t="str" cm="1">
        <f t="array" ref="O26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68" t="s">
        <v>20</v>
      </c>
      <c r="Q268" s="5">
        <v>30600</v>
      </c>
      <c r="R268">
        <v>60</v>
      </c>
      <c r="S268">
        <v>12.03</v>
      </c>
      <c r="T268">
        <v>681.14</v>
      </c>
      <c r="U268">
        <v>39.4</v>
      </c>
      <c r="V268" t="str" cm="1">
        <f t="array" ref="V26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68" t="s">
        <v>41</v>
      </c>
      <c r="X268">
        <v>0</v>
      </c>
      <c r="Y268">
        <v>0</v>
      </c>
      <c r="Z268" s="5">
        <f>IF(Merge1[[#This Row],[loan_applications.defaulted]]=0,Merge1[[#This Row],[loan_applications.loan_amount]]*(Merge1[[#This Row],[loan_applications.interest_rate]]/100)*(Merge1[[#This Row],[loan_applications.term_months]]/12),0)</f>
        <v>18405.899999999998</v>
      </c>
      <c r="AA268" s="5">
        <f>IF(Merge1[[#This Row],[loan_applications.defaulted]]=1,Merge1[[#This Row],[loan_applications.loan_amount]],0)</f>
        <v>0</v>
      </c>
    </row>
    <row r="269" spans="1:27" x14ac:dyDescent="0.35">
      <c r="A269" t="s">
        <v>558</v>
      </c>
      <c r="B269" t="s">
        <v>557</v>
      </c>
      <c r="C269" s="1">
        <v>45354</v>
      </c>
      <c r="D269">
        <v>35</v>
      </c>
      <c r="E269" t="s">
        <v>83</v>
      </c>
      <c r="F269" t="s">
        <v>62</v>
      </c>
      <c r="G269" t="s">
        <v>26</v>
      </c>
      <c r="H269">
        <v>1</v>
      </c>
      <c r="I269" s="5">
        <v>131724</v>
      </c>
      <c r="J269" t="str" cm="1">
        <f t="array" ref="J26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69">
        <v>778</v>
      </c>
      <c r="L269" t="s">
        <v>34</v>
      </c>
      <c r="M269">
        <v>1</v>
      </c>
      <c r="N269">
        <v>3643</v>
      </c>
      <c r="O269" t="str" cm="1">
        <f t="array" ref="O26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69" t="s">
        <v>71</v>
      </c>
      <c r="Q269" s="5">
        <v>45400</v>
      </c>
      <c r="R269">
        <v>48</v>
      </c>
      <c r="S269">
        <v>8.19</v>
      </c>
      <c r="T269">
        <v>1112.4000000000001</v>
      </c>
      <c r="U269">
        <v>43.3</v>
      </c>
      <c r="V269" t="str" cm="1">
        <f t="array" ref="V26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69" t="s">
        <v>41</v>
      </c>
      <c r="X269">
        <v>0</v>
      </c>
      <c r="Y269">
        <v>0</v>
      </c>
      <c r="Z269" s="5">
        <f>IF(Merge1[[#This Row],[loan_applications.defaulted]]=0,Merge1[[#This Row],[loan_applications.loan_amount]]*(Merge1[[#This Row],[loan_applications.interest_rate]]/100)*(Merge1[[#This Row],[loan_applications.term_months]]/12),0)</f>
        <v>14873.04</v>
      </c>
      <c r="AA269" s="5">
        <f>IF(Merge1[[#This Row],[loan_applications.defaulted]]=1,Merge1[[#This Row],[loan_applications.loan_amount]],0)</f>
        <v>0</v>
      </c>
    </row>
    <row r="270" spans="1:27" x14ac:dyDescent="0.35">
      <c r="A270" t="s">
        <v>559</v>
      </c>
      <c r="B270" t="s">
        <v>560</v>
      </c>
      <c r="C270" s="1">
        <v>45647</v>
      </c>
      <c r="D270">
        <v>57</v>
      </c>
      <c r="E270" t="s">
        <v>79</v>
      </c>
      <c r="F270" t="s">
        <v>32</v>
      </c>
      <c r="G270" t="s">
        <v>33</v>
      </c>
      <c r="H270">
        <v>16</v>
      </c>
      <c r="I270" s="5">
        <v>86745</v>
      </c>
      <c r="J270" t="str" cm="1">
        <f t="array" ref="J27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0">
        <v>742</v>
      </c>
      <c r="L270" t="s">
        <v>17</v>
      </c>
      <c r="M270">
        <v>0</v>
      </c>
      <c r="N270">
        <v>625</v>
      </c>
      <c r="O270" t="str" cm="1">
        <f t="array" ref="O27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70" t="s">
        <v>23</v>
      </c>
      <c r="Q270" s="5">
        <v>7600</v>
      </c>
      <c r="R270">
        <v>60</v>
      </c>
      <c r="S270">
        <v>12.33</v>
      </c>
      <c r="T270">
        <v>170.33</v>
      </c>
      <c r="U270">
        <v>11</v>
      </c>
      <c r="V270" t="str" cm="1">
        <f t="array" ref="V27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270" t="s">
        <v>41</v>
      </c>
      <c r="X270">
        <v>0</v>
      </c>
      <c r="Y270">
        <v>0</v>
      </c>
      <c r="Z270" s="5">
        <f>IF(Merge1[[#This Row],[loan_applications.defaulted]]=0,Merge1[[#This Row],[loan_applications.loan_amount]]*(Merge1[[#This Row],[loan_applications.interest_rate]]/100)*(Merge1[[#This Row],[loan_applications.term_months]]/12),0)</f>
        <v>4685.4000000000005</v>
      </c>
      <c r="AA270" s="5">
        <f>IF(Merge1[[#This Row],[loan_applications.defaulted]]=1,Merge1[[#This Row],[loan_applications.loan_amount]],0)</f>
        <v>0</v>
      </c>
    </row>
    <row r="271" spans="1:27" x14ac:dyDescent="0.35">
      <c r="A271" t="s">
        <v>561</v>
      </c>
      <c r="B271" t="s">
        <v>562</v>
      </c>
      <c r="C271" s="1">
        <v>45639</v>
      </c>
      <c r="D271">
        <v>49</v>
      </c>
      <c r="E271" t="s">
        <v>383</v>
      </c>
      <c r="F271" t="s">
        <v>68</v>
      </c>
      <c r="G271" t="s">
        <v>26</v>
      </c>
      <c r="H271">
        <v>29</v>
      </c>
      <c r="I271" s="5">
        <v>75328</v>
      </c>
      <c r="J271" t="str" cm="1">
        <f t="array" ref="J27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1">
        <v>570</v>
      </c>
      <c r="L271" t="s">
        <v>34</v>
      </c>
      <c r="M271">
        <v>1</v>
      </c>
      <c r="N271">
        <v>2727</v>
      </c>
      <c r="O271" t="str" cm="1">
        <f t="array" ref="O27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71" t="s">
        <v>20</v>
      </c>
      <c r="Q271" s="5">
        <v>13100</v>
      </c>
      <c r="R271">
        <v>24</v>
      </c>
      <c r="S271">
        <v>13.44</v>
      </c>
      <c r="T271">
        <v>625.51</v>
      </c>
      <c r="U271">
        <v>53.4</v>
      </c>
      <c r="V271" t="str" cm="1">
        <f t="array" ref="V27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71" t="s">
        <v>91</v>
      </c>
      <c r="X271">
        <v>15</v>
      </c>
      <c r="Y271">
        <v>0</v>
      </c>
      <c r="Z271" s="5">
        <f>IF(Merge1[[#This Row],[loan_applications.defaulted]]=0,Merge1[[#This Row],[loan_applications.loan_amount]]*(Merge1[[#This Row],[loan_applications.interest_rate]]/100)*(Merge1[[#This Row],[loan_applications.term_months]]/12),0)</f>
        <v>3521.2799999999997</v>
      </c>
      <c r="AA271" s="5">
        <f>IF(Merge1[[#This Row],[loan_applications.defaulted]]=1,Merge1[[#This Row],[loan_applications.loan_amount]],0)</f>
        <v>0</v>
      </c>
    </row>
    <row r="272" spans="1:27" x14ac:dyDescent="0.35">
      <c r="A272" t="s">
        <v>563</v>
      </c>
      <c r="B272" t="s">
        <v>564</v>
      </c>
      <c r="C272" s="1">
        <v>45660</v>
      </c>
      <c r="D272">
        <v>63</v>
      </c>
      <c r="E272" t="s">
        <v>61</v>
      </c>
      <c r="F272" t="s">
        <v>47</v>
      </c>
      <c r="G272" t="s">
        <v>63</v>
      </c>
      <c r="H272">
        <v>28</v>
      </c>
      <c r="I272" s="5">
        <v>60734</v>
      </c>
      <c r="J272" t="str" cm="1">
        <f t="array" ref="J27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2">
        <v>730</v>
      </c>
      <c r="L272" t="s">
        <v>17</v>
      </c>
      <c r="M272">
        <v>1</v>
      </c>
      <c r="N272">
        <v>456</v>
      </c>
      <c r="O272" t="str" cm="1">
        <f t="array" ref="O27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72" t="s">
        <v>37</v>
      </c>
      <c r="Q272" s="5">
        <v>20700</v>
      </c>
      <c r="R272">
        <v>48</v>
      </c>
      <c r="S272">
        <v>12</v>
      </c>
      <c r="T272">
        <v>545.11</v>
      </c>
      <c r="U272">
        <v>19.8</v>
      </c>
      <c r="V272" t="str" cm="1">
        <f t="array" ref="V27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272" t="s">
        <v>21</v>
      </c>
      <c r="X272">
        <v>0</v>
      </c>
      <c r="Y272">
        <v>0</v>
      </c>
      <c r="Z272" s="5">
        <f>IF(Merge1[[#This Row],[loan_applications.defaulted]]=0,Merge1[[#This Row],[loan_applications.loan_amount]]*(Merge1[[#This Row],[loan_applications.interest_rate]]/100)*(Merge1[[#This Row],[loan_applications.term_months]]/12),0)</f>
        <v>9936</v>
      </c>
      <c r="AA272" s="5">
        <f>IF(Merge1[[#This Row],[loan_applications.defaulted]]=1,Merge1[[#This Row],[loan_applications.loan_amount]],0)</f>
        <v>0</v>
      </c>
    </row>
    <row r="273" spans="1:27" x14ac:dyDescent="0.35">
      <c r="A273" t="s">
        <v>565</v>
      </c>
      <c r="B273" t="s">
        <v>566</v>
      </c>
      <c r="C273" s="1">
        <v>45496</v>
      </c>
      <c r="D273">
        <v>64</v>
      </c>
      <c r="E273" t="s">
        <v>67</v>
      </c>
      <c r="F273" t="s">
        <v>62</v>
      </c>
      <c r="G273" t="s">
        <v>26</v>
      </c>
      <c r="H273">
        <v>11</v>
      </c>
      <c r="I273" s="5">
        <v>128412</v>
      </c>
      <c r="J273" t="str" cm="1">
        <f t="array" ref="J27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3">
        <v>610</v>
      </c>
      <c r="L273" t="s">
        <v>17</v>
      </c>
      <c r="M273">
        <v>1</v>
      </c>
      <c r="N273">
        <v>4429</v>
      </c>
      <c r="O273" t="str" cm="1">
        <f t="array" ref="O27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73" t="s">
        <v>37</v>
      </c>
      <c r="Q273" s="5">
        <v>6100</v>
      </c>
      <c r="R273">
        <v>48</v>
      </c>
      <c r="S273">
        <v>10.48</v>
      </c>
      <c r="T273">
        <v>156.12</v>
      </c>
      <c r="U273">
        <v>42.8</v>
      </c>
      <c r="V273" t="str" cm="1">
        <f t="array" ref="V27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73" t="s">
        <v>24</v>
      </c>
      <c r="X273">
        <v>155</v>
      </c>
      <c r="Y273">
        <v>1</v>
      </c>
      <c r="Z27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73" s="5">
        <f>IF(Merge1[[#This Row],[loan_applications.defaulted]]=1,Merge1[[#This Row],[loan_applications.loan_amount]],0)</f>
        <v>6100</v>
      </c>
    </row>
    <row r="274" spans="1:27" x14ac:dyDescent="0.35">
      <c r="A274" t="s">
        <v>567</v>
      </c>
      <c r="B274" t="s">
        <v>568</v>
      </c>
      <c r="C274" s="1">
        <v>45340</v>
      </c>
      <c r="D274">
        <v>36</v>
      </c>
      <c r="E274" t="s">
        <v>46</v>
      </c>
      <c r="F274" t="s">
        <v>62</v>
      </c>
      <c r="G274" t="s">
        <v>16</v>
      </c>
      <c r="H274">
        <v>13</v>
      </c>
      <c r="I274" s="5">
        <v>138554</v>
      </c>
      <c r="J274" t="str" cm="1">
        <f t="array" ref="J27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4">
        <v>787</v>
      </c>
      <c r="L274" t="s">
        <v>34</v>
      </c>
      <c r="M274">
        <v>0</v>
      </c>
      <c r="N274">
        <v>3236</v>
      </c>
      <c r="O274" t="str" cm="1">
        <f t="array" ref="O27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74" t="s">
        <v>23</v>
      </c>
      <c r="Q274" s="5">
        <v>25700</v>
      </c>
      <c r="R274">
        <v>24</v>
      </c>
      <c r="S274">
        <v>7.93</v>
      </c>
      <c r="T274">
        <v>1161.52</v>
      </c>
      <c r="U274">
        <v>38.1</v>
      </c>
      <c r="V274" t="str" cm="1">
        <f t="array" ref="V27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74" t="s">
        <v>41</v>
      </c>
      <c r="X274">
        <v>0</v>
      </c>
      <c r="Y274">
        <v>0</v>
      </c>
      <c r="Z274" s="5">
        <f>IF(Merge1[[#This Row],[loan_applications.defaulted]]=0,Merge1[[#This Row],[loan_applications.loan_amount]]*(Merge1[[#This Row],[loan_applications.interest_rate]]/100)*(Merge1[[#This Row],[loan_applications.term_months]]/12),0)</f>
        <v>4076.02</v>
      </c>
      <c r="AA274" s="5">
        <f>IF(Merge1[[#This Row],[loan_applications.defaulted]]=1,Merge1[[#This Row],[loan_applications.loan_amount]],0)</f>
        <v>0</v>
      </c>
    </row>
    <row r="275" spans="1:27" x14ac:dyDescent="0.35">
      <c r="A275" t="s">
        <v>569</v>
      </c>
      <c r="B275" t="s">
        <v>570</v>
      </c>
      <c r="C275" s="1">
        <v>45637</v>
      </c>
      <c r="D275">
        <v>31</v>
      </c>
      <c r="E275" t="s">
        <v>92</v>
      </c>
      <c r="F275" t="s">
        <v>68</v>
      </c>
      <c r="G275" t="s">
        <v>75</v>
      </c>
      <c r="H275">
        <v>0</v>
      </c>
      <c r="I275" s="5">
        <v>37737</v>
      </c>
      <c r="J275" t="str" cm="1">
        <f t="array" ref="J275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75">
        <v>582</v>
      </c>
      <c r="L275" t="s">
        <v>17</v>
      </c>
      <c r="M275">
        <v>2</v>
      </c>
      <c r="N275">
        <v>1629</v>
      </c>
      <c r="O275" t="str" cm="1">
        <f t="array" ref="O27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75" t="s">
        <v>50</v>
      </c>
      <c r="Q275" s="5">
        <v>43900</v>
      </c>
      <c r="R275">
        <v>12</v>
      </c>
      <c r="S275">
        <v>14.33</v>
      </c>
      <c r="T275">
        <v>3948.47</v>
      </c>
      <c r="U275">
        <v>177.4</v>
      </c>
      <c r="V275" t="str" cm="1">
        <f t="array" ref="V27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75" t="s">
        <v>24</v>
      </c>
      <c r="X275">
        <v>88</v>
      </c>
      <c r="Y275">
        <v>1</v>
      </c>
      <c r="Z27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75" s="5">
        <f>IF(Merge1[[#This Row],[loan_applications.defaulted]]=1,Merge1[[#This Row],[loan_applications.loan_amount]],0)</f>
        <v>43900</v>
      </c>
    </row>
    <row r="276" spans="1:27" x14ac:dyDescent="0.35">
      <c r="A276" t="s">
        <v>571</v>
      </c>
      <c r="B276" t="s">
        <v>572</v>
      </c>
      <c r="C276" s="1">
        <v>45565</v>
      </c>
      <c r="D276">
        <v>23</v>
      </c>
      <c r="E276" t="s">
        <v>38</v>
      </c>
      <c r="F276" t="s">
        <v>68</v>
      </c>
      <c r="G276" t="s">
        <v>26</v>
      </c>
      <c r="H276">
        <v>0</v>
      </c>
      <c r="I276" s="5">
        <v>56840</v>
      </c>
      <c r="J276" t="str" cm="1">
        <f t="array" ref="J27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76">
        <v>758</v>
      </c>
      <c r="L276" t="s">
        <v>27</v>
      </c>
      <c r="M276">
        <v>1</v>
      </c>
      <c r="N276">
        <v>791</v>
      </c>
      <c r="O276" t="str" cm="1">
        <f t="array" ref="O27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76" t="s">
        <v>56</v>
      </c>
      <c r="Q276" s="5">
        <v>49700</v>
      </c>
      <c r="R276">
        <v>36</v>
      </c>
      <c r="S276">
        <v>11.21</v>
      </c>
      <c r="T276">
        <v>1632.06</v>
      </c>
      <c r="U276">
        <v>51.2</v>
      </c>
      <c r="V276" t="str" cm="1">
        <f t="array" ref="V27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76" t="s">
        <v>91</v>
      </c>
      <c r="X276">
        <v>15</v>
      </c>
      <c r="Y276">
        <v>0</v>
      </c>
      <c r="Z276" s="5">
        <f>IF(Merge1[[#This Row],[loan_applications.defaulted]]=0,Merge1[[#This Row],[loan_applications.loan_amount]]*(Merge1[[#This Row],[loan_applications.interest_rate]]/100)*(Merge1[[#This Row],[loan_applications.term_months]]/12),0)</f>
        <v>16714.11</v>
      </c>
      <c r="AA276" s="5">
        <f>IF(Merge1[[#This Row],[loan_applications.defaulted]]=1,Merge1[[#This Row],[loan_applications.loan_amount]],0)</f>
        <v>0</v>
      </c>
    </row>
    <row r="277" spans="1:27" x14ac:dyDescent="0.35">
      <c r="A277" t="s">
        <v>573</v>
      </c>
      <c r="B277" t="s">
        <v>574</v>
      </c>
      <c r="C277" s="1">
        <v>45405</v>
      </c>
      <c r="D277">
        <v>35</v>
      </c>
      <c r="E277" t="s">
        <v>79</v>
      </c>
      <c r="F277" t="s">
        <v>62</v>
      </c>
      <c r="G277" t="s">
        <v>16</v>
      </c>
      <c r="H277">
        <v>7</v>
      </c>
      <c r="I277" s="5">
        <v>66623</v>
      </c>
      <c r="J277" t="str" cm="1">
        <f t="array" ref="J27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77">
        <v>683</v>
      </c>
      <c r="L277" t="s">
        <v>17</v>
      </c>
      <c r="M277">
        <v>2</v>
      </c>
      <c r="N277">
        <v>1880</v>
      </c>
      <c r="O277" t="str" cm="1">
        <f t="array" ref="O27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77" t="s">
        <v>54</v>
      </c>
      <c r="Q277" s="5">
        <v>46500</v>
      </c>
      <c r="R277">
        <v>48</v>
      </c>
      <c r="S277">
        <v>12.61</v>
      </c>
      <c r="T277">
        <v>1238.5</v>
      </c>
      <c r="U277">
        <v>56.2</v>
      </c>
      <c r="V277" t="str" cm="1">
        <f t="array" ref="V27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77" t="s">
        <v>91</v>
      </c>
      <c r="X277">
        <v>0</v>
      </c>
      <c r="Y277">
        <v>0</v>
      </c>
      <c r="Z277" s="5">
        <f>IF(Merge1[[#This Row],[loan_applications.defaulted]]=0,Merge1[[#This Row],[loan_applications.loan_amount]]*(Merge1[[#This Row],[loan_applications.interest_rate]]/100)*(Merge1[[#This Row],[loan_applications.term_months]]/12),0)</f>
        <v>23454.6</v>
      </c>
      <c r="AA277" s="5">
        <f>IF(Merge1[[#This Row],[loan_applications.defaulted]]=1,Merge1[[#This Row],[loan_applications.loan_amount]],0)</f>
        <v>0</v>
      </c>
    </row>
    <row r="278" spans="1:27" x14ac:dyDescent="0.35">
      <c r="A278" t="s">
        <v>575</v>
      </c>
      <c r="B278" t="s">
        <v>576</v>
      </c>
      <c r="C278" s="1">
        <v>45412</v>
      </c>
      <c r="D278">
        <v>65</v>
      </c>
      <c r="E278" t="s">
        <v>31</v>
      </c>
      <c r="F278" t="s">
        <v>62</v>
      </c>
      <c r="G278" t="s">
        <v>26</v>
      </c>
      <c r="H278">
        <v>14</v>
      </c>
      <c r="I278" s="5">
        <v>129782</v>
      </c>
      <c r="J278" t="str" cm="1">
        <f t="array" ref="J27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8">
        <v>816</v>
      </c>
      <c r="L278" t="s">
        <v>34</v>
      </c>
      <c r="M278">
        <v>0</v>
      </c>
      <c r="N278">
        <v>5669</v>
      </c>
      <c r="O278" t="str" cm="1">
        <f t="array" ref="O27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78" t="s">
        <v>54</v>
      </c>
      <c r="Q278" s="5">
        <v>4000</v>
      </c>
      <c r="R278">
        <v>12</v>
      </c>
      <c r="S278">
        <v>7.24</v>
      </c>
      <c r="T278">
        <v>346.55</v>
      </c>
      <c r="U278">
        <v>55.6</v>
      </c>
      <c r="V278" t="str" cm="1">
        <f t="array" ref="V27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78" t="s">
        <v>91</v>
      </c>
      <c r="X278">
        <v>15</v>
      </c>
      <c r="Y278">
        <v>0</v>
      </c>
      <c r="Z278" s="5">
        <f>IF(Merge1[[#This Row],[loan_applications.defaulted]]=0,Merge1[[#This Row],[loan_applications.loan_amount]]*(Merge1[[#This Row],[loan_applications.interest_rate]]/100)*(Merge1[[#This Row],[loan_applications.term_months]]/12),0)</f>
        <v>289.60000000000002</v>
      </c>
      <c r="AA278" s="5">
        <f>IF(Merge1[[#This Row],[loan_applications.defaulted]]=1,Merge1[[#This Row],[loan_applications.loan_amount]],0)</f>
        <v>0</v>
      </c>
    </row>
    <row r="279" spans="1:27" x14ac:dyDescent="0.35">
      <c r="A279" t="s">
        <v>577</v>
      </c>
      <c r="B279" t="s">
        <v>576</v>
      </c>
      <c r="C279" s="1">
        <v>45393</v>
      </c>
      <c r="D279">
        <v>65</v>
      </c>
      <c r="E279" t="s">
        <v>31</v>
      </c>
      <c r="F279" t="s">
        <v>62</v>
      </c>
      <c r="G279" t="s">
        <v>26</v>
      </c>
      <c r="H279">
        <v>14</v>
      </c>
      <c r="I279" s="5">
        <v>129782</v>
      </c>
      <c r="J279" t="str" cm="1">
        <f t="array" ref="J27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79">
        <v>816</v>
      </c>
      <c r="L279" t="s">
        <v>34</v>
      </c>
      <c r="M279">
        <v>0</v>
      </c>
      <c r="N279">
        <v>5669</v>
      </c>
      <c r="O279" t="str" cm="1">
        <f t="array" ref="O27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79" t="s">
        <v>37</v>
      </c>
      <c r="Q279" s="5">
        <v>38600</v>
      </c>
      <c r="R279">
        <v>48</v>
      </c>
      <c r="S279">
        <v>10.06</v>
      </c>
      <c r="T279">
        <v>980.11</v>
      </c>
      <c r="U279">
        <v>61.5</v>
      </c>
      <c r="V279" t="str" cm="1">
        <f t="array" ref="V27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79" t="s">
        <v>24</v>
      </c>
      <c r="X279">
        <v>123</v>
      </c>
      <c r="Y279">
        <v>1</v>
      </c>
      <c r="Z27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79" s="5">
        <f>IF(Merge1[[#This Row],[loan_applications.defaulted]]=1,Merge1[[#This Row],[loan_applications.loan_amount]],0)</f>
        <v>38600</v>
      </c>
    </row>
    <row r="280" spans="1:27" x14ac:dyDescent="0.35">
      <c r="A280" t="s">
        <v>578</v>
      </c>
      <c r="B280" t="s">
        <v>579</v>
      </c>
      <c r="C280" s="1">
        <v>45298</v>
      </c>
      <c r="D280">
        <v>33</v>
      </c>
      <c r="E280" t="s">
        <v>57</v>
      </c>
      <c r="F280" t="s">
        <v>32</v>
      </c>
      <c r="G280" t="s">
        <v>26</v>
      </c>
      <c r="H280">
        <v>10</v>
      </c>
      <c r="I280" s="5">
        <v>72220</v>
      </c>
      <c r="J280" t="str" cm="1">
        <f t="array" ref="J28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80">
        <v>711</v>
      </c>
      <c r="L280" t="s">
        <v>17</v>
      </c>
      <c r="M280">
        <v>1</v>
      </c>
      <c r="N280">
        <v>2396</v>
      </c>
      <c r="O280" t="str" cm="1">
        <f t="array" ref="O28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80" t="s">
        <v>50</v>
      </c>
      <c r="Q280" s="5">
        <v>8100</v>
      </c>
      <c r="R280">
        <v>48</v>
      </c>
      <c r="S280">
        <v>12</v>
      </c>
      <c r="T280">
        <v>213.3</v>
      </c>
      <c r="U280">
        <v>43.4</v>
      </c>
      <c r="V280" t="str" cm="1">
        <f t="array" ref="V28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80" t="s">
        <v>41</v>
      </c>
      <c r="X280">
        <v>0</v>
      </c>
      <c r="Y280">
        <v>0</v>
      </c>
      <c r="Z280" s="5">
        <f>IF(Merge1[[#This Row],[loan_applications.defaulted]]=0,Merge1[[#This Row],[loan_applications.loan_amount]]*(Merge1[[#This Row],[loan_applications.interest_rate]]/100)*(Merge1[[#This Row],[loan_applications.term_months]]/12),0)</f>
        <v>3888</v>
      </c>
      <c r="AA280" s="5">
        <f>IF(Merge1[[#This Row],[loan_applications.defaulted]]=1,Merge1[[#This Row],[loan_applications.loan_amount]],0)</f>
        <v>0</v>
      </c>
    </row>
    <row r="281" spans="1:27" x14ac:dyDescent="0.35">
      <c r="A281" t="s">
        <v>580</v>
      </c>
      <c r="B281" t="s">
        <v>581</v>
      </c>
      <c r="C281" s="1">
        <v>45543</v>
      </c>
      <c r="D281">
        <v>48</v>
      </c>
      <c r="E281" t="s">
        <v>383</v>
      </c>
      <c r="F281" t="s">
        <v>15</v>
      </c>
      <c r="G281" t="s">
        <v>26</v>
      </c>
      <c r="H281">
        <v>7</v>
      </c>
      <c r="I281" s="5">
        <v>48955</v>
      </c>
      <c r="J281" t="str" cm="1">
        <f t="array" ref="J28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81">
        <v>772</v>
      </c>
      <c r="L281" t="s">
        <v>17</v>
      </c>
      <c r="M281">
        <v>3</v>
      </c>
      <c r="N281">
        <v>498</v>
      </c>
      <c r="O281" t="str" cm="1">
        <f t="array" ref="O28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81" t="s">
        <v>54</v>
      </c>
      <c r="Q281" s="5">
        <v>22300</v>
      </c>
      <c r="R281">
        <v>48</v>
      </c>
      <c r="S281">
        <v>8.94</v>
      </c>
      <c r="T281">
        <v>554.29999999999995</v>
      </c>
      <c r="U281">
        <v>25.8</v>
      </c>
      <c r="V281" t="str" cm="1">
        <f t="array" ref="V28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81" t="s">
        <v>41</v>
      </c>
      <c r="X281">
        <v>0</v>
      </c>
      <c r="Y281">
        <v>0</v>
      </c>
      <c r="Z281" s="5">
        <f>IF(Merge1[[#This Row],[loan_applications.defaulted]]=0,Merge1[[#This Row],[loan_applications.loan_amount]]*(Merge1[[#This Row],[loan_applications.interest_rate]]/100)*(Merge1[[#This Row],[loan_applications.term_months]]/12),0)</f>
        <v>7974.48</v>
      </c>
      <c r="AA281" s="5">
        <f>IF(Merge1[[#This Row],[loan_applications.defaulted]]=1,Merge1[[#This Row],[loan_applications.loan_amount]],0)</f>
        <v>0</v>
      </c>
    </row>
    <row r="282" spans="1:27" x14ac:dyDescent="0.35">
      <c r="A282" t="s">
        <v>582</v>
      </c>
      <c r="B282" t="s">
        <v>583</v>
      </c>
      <c r="C282" s="1">
        <v>45820</v>
      </c>
      <c r="D282">
        <v>51</v>
      </c>
      <c r="E282" t="s">
        <v>31</v>
      </c>
      <c r="F282" t="s">
        <v>62</v>
      </c>
      <c r="G282" t="s">
        <v>63</v>
      </c>
      <c r="H282">
        <v>8</v>
      </c>
      <c r="I282" s="5">
        <v>75699</v>
      </c>
      <c r="J282" t="str" cm="1">
        <f t="array" ref="J28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82">
        <v>820</v>
      </c>
      <c r="L282" t="s">
        <v>34</v>
      </c>
      <c r="M282">
        <v>0</v>
      </c>
      <c r="N282">
        <v>2355</v>
      </c>
      <c r="O282" t="str" cm="1">
        <f t="array" ref="O28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82" t="s">
        <v>23</v>
      </c>
      <c r="Q282" s="5">
        <v>21600</v>
      </c>
      <c r="R282">
        <v>48</v>
      </c>
      <c r="S282">
        <v>11.09</v>
      </c>
      <c r="T282">
        <v>559.21</v>
      </c>
      <c r="U282">
        <v>46.2</v>
      </c>
      <c r="V282" t="str" cm="1">
        <f t="array" ref="V28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82" t="s">
        <v>41</v>
      </c>
      <c r="X282">
        <v>0</v>
      </c>
      <c r="Y282">
        <v>0</v>
      </c>
      <c r="Z282" s="5">
        <f>IF(Merge1[[#This Row],[loan_applications.defaulted]]=0,Merge1[[#This Row],[loan_applications.loan_amount]]*(Merge1[[#This Row],[loan_applications.interest_rate]]/100)*(Merge1[[#This Row],[loan_applications.term_months]]/12),0)</f>
        <v>9581.76</v>
      </c>
      <c r="AA282" s="5">
        <f>IF(Merge1[[#This Row],[loan_applications.defaulted]]=1,Merge1[[#This Row],[loan_applications.loan_amount]],0)</f>
        <v>0</v>
      </c>
    </row>
    <row r="283" spans="1:27" x14ac:dyDescent="0.35">
      <c r="A283" t="s">
        <v>584</v>
      </c>
      <c r="B283" t="s">
        <v>585</v>
      </c>
      <c r="C283" s="1">
        <v>45614</v>
      </c>
      <c r="D283">
        <v>50</v>
      </c>
      <c r="E283" t="s">
        <v>125</v>
      </c>
      <c r="F283" t="s">
        <v>62</v>
      </c>
      <c r="G283" t="s">
        <v>26</v>
      </c>
      <c r="H283">
        <v>1</v>
      </c>
      <c r="I283" s="5">
        <v>116769</v>
      </c>
      <c r="J283" t="str" cm="1">
        <f t="array" ref="J28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83">
        <v>642</v>
      </c>
      <c r="L283" t="s">
        <v>34</v>
      </c>
      <c r="M283">
        <v>2</v>
      </c>
      <c r="N283">
        <v>678</v>
      </c>
      <c r="O283" t="str" cm="1">
        <f t="array" ref="O28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283" t="s">
        <v>60</v>
      </c>
      <c r="Q283" s="5">
        <v>26800</v>
      </c>
      <c r="R283">
        <v>12</v>
      </c>
      <c r="S283">
        <v>9.7200000000000006</v>
      </c>
      <c r="T283">
        <v>2352.66</v>
      </c>
      <c r="U283">
        <v>31.1</v>
      </c>
      <c r="V283" t="str" cm="1">
        <f t="array" ref="V28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83" t="s">
        <v>41</v>
      </c>
      <c r="X283">
        <v>0</v>
      </c>
      <c r="Y283">
        <v>0</v>
      </c>
      <c r="Z283" s="5">
        <f>IF(Merge1[[#This Row],[loan_applications.defaulted]]=0,Merge1[[#This Row],[loan_applications.loan_amount]]*(Merge1[[#This Row],[loan_applications.interest_rate]]/100)*(Merge1[[#This Row],[loan_applications.term_months]]/12),0)</f>
        <v>2604.96</v>
      </c>
      <c r="AA283" s="5">
        <f>IF(Merge1[[#This Row],[loan_applications.defaulted]]=1,Merge1[[#This Row],[loan_applications.loan_amount]],0)</f>
        <v>0</v>
      </c>
    </row>
    <row r="284" spans="1:27" x14ac:dyDescent="0.35">
      <c r="A284" t="s">
        <v>586</v>
      </c>
      <c r="B284" t="s">
        <v>587</v>
      </c>
      <c r="C284" s="1">
        <v>45824</v>
      </c>
      <c r="D284">
        <v>26</v>
      </c>
      <c r="E284" t="s">
        <v>330</v>
      </c>
      <c r="F284" t="s">
        <v>15</v>
      </c>
      <c r="G284" t="s">
        <v>16</v>
      </c>
      <c r="H284">
        <v>1</v>
      </c>
      <c r="I284" s="5">
        <v>47895</v>
      </c>
      <c r="J284" t="str" cm="1">
        <f t="array" ref="J284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84">
        <v>816</v>
      </c>
      <c r="L284" t="s">
        <v>34</v>
      </c>
      <c r="M284">
        <v>3</v>
      </c>
      <c r="N284">
        <v>804</v>
      </c>
      <c r="O284" t="str" cm="1">
        <f t="array" ref="O28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84" t="s">
        <v>60</v>
      </c>
      <c r="Q284" s="5">
        <v>32800</v>
      </c>
      <c r="R284">
        <v>60</v>
      </c>
      <c r="S284">
        <v>6.69</v>
      </c>
      <c r="T284">
        <v>644.69000000000005</v>
      </c>
      <c r="U284">
        <v>36.299999999999997</v>
      </c>
      <c r="V284" t="str" cm="1">
        <f t="array" ref="V28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84" t="s">
        <v>21</v>
      </c>
      <c r="X284">
        <v>0</v>
      </c>
      <c r="Y284">
        <v>0</v>
      </c>
      <c r="Z284" s="5">
        <f>IF(Merge1[[#This Row],[loan_applications.defaulted]]=0,Merge1[[#This Row],[loan_applications.loan_amount]]*(Merge1[[#This Row],[loan_applications.interest_rate]]/100)*(Merge1[[#This Row],[loan_applications.term_months]]/12),0)</f>
        <v>10971.6</v>
      </c>
      <c r="AA284" s="5">
        <f>IF(Merge1[[#This Row],[loan_applications.defaulted]]=1,Merge1[[#This Row],[loan_applications.loan_amount]],0)</f>
        <v>0</v>
      </c>
    </row>
    <row r="285" spans="1:27" x14ac:dyDescent="0.35">
      <c r="A285" t="s">
        <v>588</v>
      </c>
      <c r="B285" t="s">
        <v>589</v>
      </c>
      <c r="C285" s="1">
        <v>45578</v>
      </c>
      <c r="D285">
        <v>22</v>
      </c>
      <c r="E285" t="s">
        <v>162</v>
      </c>
      <c r="F285" t="s">
        <v>68</v>
      </c>
      <c r="G285" t="s">
        <v>26</v>
      </c>
      <c r="H285">
        <v>0</v>
      </c>
      <c r="I285" s="5">
        <v>63656</v>
      </c>
      <c r="J285" t="str" cm="1">
        <f t="array" ref="J285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85">
        <v>780</v>
      </c>
      <c r="L285" t="s">
        <v>17</v>
      </c>
      <c r="M285">
        <v>0</v>
      </c>
      <c r="N285">
        <v>2692</v>
      </c>
      <c r="O285" t="str" cm="1">
        <f t="array" ref="O28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85" t="s">
        <v>37</v>
      </c>
      <c r="Q285" s="5">
        <v>17100</v>
      </c>
      <c r="R285">
        <v>36</v>
      </c>
      <c r="S285">
        <v>7.04</v>
      </c>
      <c r="T285">
        <v>528.30999999999995</v>
      </c>
      <c r="U285">
        <v>60.7</v>
      </c>
      <c r="V285" t="str" cm="1">
        <f t="array" ref="V28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85" t="s">
        <v>41</v>
      </c>
      <c r="X285">
        <v>0</v>
      </c>
      <c r="Y285">
        <v>0</v>
      </c>
      <c r="Z285" s="5">
        <f>IF(Merge1[[#This Row],[loan_applications.defaulted]]=0,Merge1[[#This Row],[loan_applications.loan_amount]]*(Merge1[[#This Row],[loan_applications.interest_rate]]/100)*(Merge1[[#This Row],[loan_applications.term_months]]/12),0)</f>
        <v>3611.5200000000004</v>
      </c>
      <c r="AA285" s="5">
        <f>IF(Merge1[[#This Row],[loan_applications.defaulted]]=1,Merge1[[#This Row],[loan_applications.loan_amount]],0)</f>
        <v>0</v>
      </c>
    </row>
    <row r="286" spans="1:27" x14ac:dyDescent="0.35">
      <c r="A286" t="s">
        <v>590</v>
      </c>
      <c r="B286" t="s">
        <v>591</v>
      </c>
      <c r="C286" s="1">
        <v>45645</v>
      </c>
      <c r="D286">
        <v>57</v>
      </c>
      <c r="E286" t="s">
        <v>83</v>
      </c>
      <c r="F286" t="s">
        <v>68</v>
      </c>
      <c r="G286" t="s">
        <v>26</v>
      </c>
      <c r="H286">
        <v>19</v>
      </c>
      <c r="I286" s="5">
        <v>50940</v>
      </c>
      <c r="J286" t="str" cm="1">
        <f t="array" ref="J28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86">
        <v>713</v>
      </c>
      <c r="L286" t="s">
        <v>34</v>
      </c>
      <c r="M286">
        <v>3</v>
      </c>
      <c r="N286">
        <v>1201</v>
      </c>
      <c r="O286" t="str" cm="1">
        <f t="array" ref="O28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86" t="s">
        <v>56</v>
      </c>
      <c r="Q286" s="5">
        <v>32000</v>
      </c>
      <c r="R286">
        <v>60</v>
      </c>
      <c r="S286">
        <v>11.38</v>
      </c>
      <c r="T286">
        <v>701.84</v>
      </c>
      <c r="U286">
        <v>44.8</v>
      </c>
      <c r="V286" t="str" cm="1">
        <f t="array" ref="V28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86" t="s">
        <v>41</v>
      </c>
      <c r="X286">
        <v>0</v>
      </c>
      <c r="Y286">
        <v>0</v>
      </c>
      <c r="Z286" s="5">
        <f>IF(Merge1[[#This Row],[loan_applications.defaulted]]=0,Merge1[[#This Row],[loan_applications.loan_amount]]*(Merge1[[#This Row],[loan_applications.interest_rate]]/100)*(Merge1[[#This Row],[loan_applications.term_months]]/12),0)</f>
        <v>18208</v>
      </c>
      <c r="AA286" s="5">
        <f>IF(Merge1[[#This Row],[loan_applications.defaulted]]=1,Merge1[[#This Row],[loan_applications.loan_amount]],0)</f>
        <v>0</v>
      </c>
    </row>
    <row r="287" spans="1:27" x14ac:dyDescent="0.35">
      <c r="A287" t="s">
        <v>592</v>
      </c>
      <c r="B287" t="s">
        <v>593</v>
      </c>
      <c r="C287" s="1">
        <v>45421</v>
      </c>
      <c r="D287">
        <v>68</v>
      </c>
      <c r="E287" t="s">
        <v>157</v>
      </c>
      <c r="F287" t="s">
        <v>32</v>
      </c>
      <c r="G287" t="s">
        <v>33</v>
      </c>
      <c r="H287">
        <v>20</v>
      </c>
      <c r="I287" s="5">
        <v>98934</v>
      </c>
      <c r="J287" t="str" cm="1">
        <f t="array" ref="J28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87">
        <v>729</v>
      </c>
      <c r="L287" t="s">
        <v>34</v>
      </c>
      <c r="M287">
        <v>3</v>
      </c>
      <c r="N287">
        <v>3467</v>
      </c>
      <c r="O287" t="str" cm="1">
        <f t="array" ref="O28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87" t="s">
        <v>37</v>
      </c>
      <c r="Q287" s="5">
        <v>22300</v>
      </c>
      <c r="R287">
        <v>48</v>
      </c>
      <c r="S287">
        <v>11.48</v>
      </c>
      <c r="T287">
        <v>581.57000000000005</v>
      </c>
      <c r="U287">
        <v>49.1</v>
      </c>
      <c r="V287" t="str" cm="1">
        <f t="array" ref="V28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87" t="s">
        <v>41</v>
      </c>
      <c r="X287">
        <v>0</v>
      </c>
      <c r="Y287">
        <v>0</v>
      </c>
      <c r="Z287" s="5">
        <f>IF(Merge1[[#This Row],[loan_applications.defaulted]]=0,Merge1[[#This Row],[loan_applications.loan_amount]]*(Merge1[[#This Row],[loan_applications.interest_rate]]/100)*(Merge1[[#This Row],[loan_applications.term_months]]/12),0)</f>
        <v>10240.16</v>
      </c>
      <c r="AA287" s="5">
        <f>IF(Merge1[[#This Row],[loan_applications.defaulted]]=1,Merge1[[#This Row],[loan_applications.loan_amount]],0)</f>
        <v>0</v>
      </c>
    </row>
    <row r="288" spans="1:27" x14ac:dyDescent="0.35">
      <c r="A288" t="s">
        <v>594</v>
      </c>
      <c r="B288" t="s">
        <v>595</v>
      </c>
      <c r="C288" s="1">
        <v>45556</v>
      </c>
      <c r="D288">
        <v>23</v>
      </c>
      <c r="E288" t="s">
        <v>118</v>
      </c>
      <c r="F288" t="s">
        <v>68</v>
      </c>
      <c r="G288" t="s">
        <v>75</v>
      </c>
      <c r="H288">
        <v>2</v>
      </c>
      <c r="I288" s="5">
        <v>33693</v>
      </c>
      <c r="J288" t="str" cm="1">
        <f t="array" ref="J28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88">
        <v>738</v>
      </c>
      <c r="L288" t="s">
        <v>27</v>
      </c>
      <c r="M288">
        <v>0</v>
      </c>
      <c r="N288">
        <v>940</v>
      </c>
      <c r="O288" t="str" cm="1">
        <f t="array" ref="O28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88" t="s">
        <v>37</v>
      </c>
      <c r="Q288" s="5">
        <v>24100</v>
      </c>
      <c r="R288">
        <v>24</v>
      </c>
      <c r="S288">
        <v>7.82</v>
      </c>
      <c r="T288">
        <v>1088</v>
      </c>
      <c r="U288">
        <v>72.2</v>
      </c>
      <c r="V288" t="str" cm="1">
        <f t="array" ref="V28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88" t="s">
        <v>21</v>
      </c>
      <c r="X288">
        <v>0</v>
      </c>
      <c r="Y288">
        <v>0</v>
      </c>
      <c r="Z288" s="5">
        <f>IF(Merge1[[#This Row],[loan_applications.defaulted]]=0,Merge1[[#This Row],[loan_applications.loan_amount]]*(Merge1[[#This Row],[loan_applications.interest_rate]]/100)*(Merge1[[#This Row],[loan_applications.term_months]]/12),0)</f>
        <v>3769.2400000000002</v>
      </c>
      <c r="AA288" s="5">
        <f>IF(Merge1[[#This Row],[loan_applications.defaulted]]=1,Merge1[[#This Row],[loan_applications.loan_amount]],0)</f>
        <v>0</v>
      </c>
    </row>
    <row r="289" spans="1:27" x14ac:dyDescent="0.35">
      <c r="A289" t="s">
        <v>596</v>
      </c>
      <c r="B289" t="s">
        <v>597</v>
      </c>
      <c r="C289" s="1">
        <v>45654</v>
      </c>
      <c r="D289">
        <v>37</v>
      </c>
      <c r="E289" t="s">
        <v>25</v>
      </c>
      <c r="F289" t="s">
        <v>32</v>
      </c>
      <c r="G289" t="s">
        <v>16</v>
      </c>
      <c r="H289">
        <v>15</v>
      </c>
      <c r="I289" s="5">
        <v>84293</v>
      </c>
      <c r="J289" t="str" cm="1">
        <f t="array" ref="J28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89">
        <v>671</v>
      </c>
      <c r="L289" t="s">
        <v>17</v>
      </c>
      <c r="M289">
        <v>2</v>
      </c>
      <c r="N289">
        <v>1969</v>
      </c>
      <c r="O289" t="str" cm="1">
        <f t="array" ref="O28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89" t="s">
        <v>54</v>
      </c>
      <c r="Q289" s="5">
        <v>42400</v>
      </c>
      <c r="R289">
        <v>36</v>
      </c>
      <c r="S289">
        <v>11.95</v>
      </c>
      <c r="T289">
        <v>1407.27</v>
      </c>
      <c r="U289">
        <v>48.1</v>
      </c>
      <c r="V289" t="str" cm="1">
        <f t="array" ref="V28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89" t="s">
        <v>24</v>
      </c>
      <c r="X289">
        <v>61</v>
      </c>
      <c r="Y289">
        <v>1</v>
      </c>
      <c r="Z28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89" s="5">
        <f>IF(Merge1[[#This Row],[loan_applications.defaulted]]=1,Merge1[[#This Row],[loan_applications.loan_amount]],0)</f>
        <v>42400</v>
      </c>
    </row>
    <row r="290" spans="1:27" x14ac:dyDescent="0.35">
      <c r="A290" t="s">
        <v>598</v>
      </c>
      <c r="B290" t="s">
        <v>597</v>
      </c>
      <c r="C290" s="1">
        <v>45533</v>
      </c>
      <c r="D290">
        <v>37</v>
      </c>
      <c r="E290" t="s">
        <v>25</v>
      </c>
      <c r="F290" t="s">
        <v>32</v>
      </c>
      <c r="G290" t="s">
        <v>16</v>
      </c>
      <c r="H290">
        <v>15</v>
      </c>
      <c r="I290" s="5">
        <v>84293</v>
      </c>
      <c r="J290" t="str" cm="1">
        <f t="array" ref="J29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90">
        <v>671</v>
      </c>
      <c r="L290" t="s">
        <v>17</v>
      </c>
      <c r="M290">
        <v>2</v>
      </c>
      <c r="N290">
        <v>1969</v>
      </c>
      <c r="O290" t="str" cm="1">
        <f t="array" ref="O29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290" t="s">
        <v>20</v>
      </c>
      <c r="Q290" s="5">
        <v>37400</v>
      </c>
      <c r="R290">
        <v>48</v>
      </c>
      <c r="S290">
        <v>10.51</v>
      </c>
      <c r="T290">
        <v>957.75</v>
      </c>
      <c r="U290">
        <v>41.7</v>
      </c>
      <c r="V290" t="str" cm="1">
        <f t="array" ref="V29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90" t="s">
        <v>91</v>
      </c>
      <c r="X290">
        <v>30</v>
      </c>
      <c r="Y290">
        <v>0</v>
      </c>
      <c r="Z290" s="5">
        <f>IF(Merge1[[#This Row],[loan_applications.defaulted]]=0,Merge1[[#This Row],[loan_applications.loan_amount]]*(Merge1[[#This Row],[loan_applications.interest_rate]]/100)*(Merge1[[#This Row],[loan_applications.term_months]]/12),0)</f>
        <v>15722.96</v>
      </c>
      <c r="AA290" s="5">
        <f>IF(Merge1[[#This Row],[loan_applications.defaulted]]=1,Merge1[[#This Row],[loan_applications.loan_amount]],0)</f>
        <v>0</v>
      </c>
    </row>
    <row r="291" spans="1:27" x14ac:dyDescent="0.35">
      <c r="A291" t="s">
        <v>599</v>
      </c>
      <c r="B291" t="s">
        <v>600</v>
      </c>
      <c r="C291" s="1">
        <v>45435</v>
      </c>
      <c r="D291">
        <v>68</v>
      </c>
      <c r="E291" t="s">
        <v>109</v>
      </c>
      <c r="F291" t="s">
        <v>62</v>
      </c>
      <c r="G291" t="s">
        <v>26</v>
      </c>
      <c r="H291">
        <v>11</v>
      </c>
      <c r="I291" s="5">
        <v>116402</v>
      </c>
      <c r="J291" t="str" cm="1">
        <f t="array" ref="J29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91">
        <v>795</v>
      </c>
      <c r="L291" t="s">
        <v>17</v>
      </c>
      <c r="M291">
        <v>4</v>
      </c>
      <c r="N291">
        <v>5127</v>
      </c>
      <c r="O291" t="str" cm="1">
        <f t="array" ref="O29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91" t="s">
        <v>30</v>
      </c>
      <c r="Q291" s="5">
        <v>13200</v>
      </c>
      <c r="R291">
        <v>36</v>
      </c>
      <c r="S291">
        <v>8.17</v>
      </c>
      <c r="T291">
        <v>414.68</v>
      </c>
      <c r="U291">
        <v>57.1</v>
      </c>
      <c r="V291" t="str" cm="1">
        <f t="array" ref="V29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91" t="s">
        <v>41</v>
      </c>
      <c r="X291">
        <v>0</v>
      </c>
      <c r="Y291">
        <v>0</v>
      </c>
      <c r="Z291" s="5">
        <f>IF(Merge1[[#This Row],[loan_applications.defaulted]]=0,Merge1[[#This Row],[loan_applications.loan_amount]]*(Merge1[[#This Row],[loan_applications.interest_rate]]/100)*(Merge1[[#This Row],[loan_applications.term_months]]/12),0)</f>
        <v>3235.3199999999997</v>
      </c>
      <c r="AA291" s="5">
        <f>IF(Merge1[[#This Row],[loan_applications.defaulted]]=1,Merge1[[#This Row],[loan_applications.loan_amount]],0)</f>
        <v>0</v>
      </c>
    </row>
    <row r="292" spans="1:27" x14ac:dyDescent="0.35">
      <c r="A292" t="s">
        <v>601</v>
      </c>
      <c r="B292" t="s">
        <v>600</v>
      </c>
      <c r="C292" s="1">
        <v>45442</v>
      </c>
      <c r="D292">
        <v>68</v>
      </c>
      <c r="E292" t="s">
        <v>109</v>
      </c>
      <c r="F292" t="s">
        <v>62</v>
      </c>
      <c r="G292" t="s">
        <v>26</v>
      </c>
      <c r="H292">
        <v>11</v>
      </c>
      <c r="I292" s="5">
        <v>116402</v>
      </c>
      <c r="J292" t="str" cm="1">
        <f t="array" ref="J29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92">
        <v>795</v>
      </c>
      <c r="L292" t="s">
        <v>17</v>
      </c>
      <c r="M292">
        <v>4</v>
      </c>
      <c r="N292">
        <v>5127</v>
      </c>
      <c r="O292" t="str" cm="1">
        <f t="array" ref="O29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92" t="s">
        <v>45</v>
      </c>
      <c r="Q292" s="5">
        <v>11200</v>
      </c>
      <c r="R292">
        <v>36</v>
      </c>
      <c r="S292">
        <v>9.02</v>
      </c>
      <c r="T292">
        <v>356.26</v>
      </c>
      <c r="U292">
        <v>56.5</v>
      </c>
      <c r="V292" t="str" cm="1">
        <f t="array" ref="V29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92" t="s">
        <v>41</v>
      </c>
      <c r="X292">
        <v>0</v>
      </c>
      <c r="Y292">
        <v>0</v>
      </c>
      <c r="Z292" s="5">
        <f>IF(Merge1[[#This Row],[loan_applications.defaulted]]=0,Merge1[[#This Row],[loan_applications.loan_amount]]*(Merge1[[#This Row],[loan_applications.interest_rate]]/100)*(Merge1[[#This Row],[loan_applications.term_months]]/12),0)</f>
        <v>3030.7200000000003</v>
      </c>
      <c r="AA292" s="5">
        <f>IF(Merge1[[#This Row],[loan_applications.defaulted]]=1,Merge1[[#This Row],[loan_applications.loan_amount]],0)</f>
        <v>0</v>
      </c>
    </row>
    <row r="293" spans="1:27" x14ac:dyDescent="0.35">
      <c r="A293" t="s">
        <v>602</v>
      </c>
      <c r="B293" t="s">
        <v>603</v>
      </c>
      <c r="C293" s="1">
        <v>45704</v>
      </c>
      <c r="D293">
        <v>55</v>
      </c>
      <c r="E293" t="s">
        <v>46</v>
      </c>
      <c r="F293" t="s">
        <v>15</v>
      </c>
      <c r="G293" t="s">
        <v>33</v>
      </c>
      <c r="H293">
        <v>0</v>
      </c>
      <c r="I293" s="5">
        <v>55670</v>
      </c>
      <c r="J293" t="str" cm="1">
        <f t="array" ref="J29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293">
        <v>554</v>
      </c>
      <c r="L293" t="s">
        <v>34</v>
      </c>
      <c r="M293">
        <v>2</v>
      </c>
      <c r="N293">
        <v>389</v>
      </c>
      <c r="O293" t="str" cm="1">
        <f t="array" ref="O29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93" t="s">
        <v>50</v>
      </c>
      <c r="Q293" s="5">
        <v>22800</v>
      </c>
      <c r="R293">
        <v>36</v>
      </c>
      <c r="S293">
        <v>14.15</v>
      </c>
      <c r="T293">
        <v>780.91</v>
      </c>
      <c r="U293">
        <v>25.2</v>
      </c>
      <c r="V293" t="str" cm="1">
        <f t="array" ref="V29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293" t="s">
        <v>41</v>
      </c>
      <c r="X293">
        <v>0</v>
      </c>
      <c r="Y293">
        <v>0</v>
      </c>
      <c r="Z293" s="5">
        <f>IF(Merge1[[#This Row],[loan_applications.defaulted]]=0,Merge1[[#This Row],[loan_applications.loan_amount]]*(Merge1[[#This Row],[loan_applications.interest_rate]]/100)*(Merge1[[#This Row],[loan_applications.term_months]]/12),0)</f>
        <v>9678.6</v>
      </c>
      <c r="AA293" s="5">
        <f>IF(Merge1[[#This Row],[loan_applications.defaulted]]=1,Merge1[[#This Row],[loan_applications.loan_amount]],0)</f>
        <v>0</v>
      </c>
    </row>
    <row r="294" spans="1:27" x14ac:dyDescent="0.35">
      <c r="A294" t="s">
        <v>604</v>
      </c>
      <c r="B294" t="s">
        <v>605</v>
      </c>
      <c r="C294" s="1">
        <v>45718</v>
      </c>
      <c r="D294">
        <v>31</v>
      </c>
      <c r="E294" t="s">
        <v>252</v>
      </c>
      <c r="F294" t="s">
        <v>15</v>
      </c>
      <c r="G294" t="s">
        <v>26</v>
      </c>
      <c r="H294">
        <v>10</v>
      </c>
      <c r="I294" s="5">
        <v>35536</v>
      </c>
      <c r="J294" t="str" cm="1">
        <f t="array" ref="J29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94">
        <v>841</v>
      </c>
      <c r="L294" t="s">
        <v>17</v>
      </c>
      <c r="M294">
        <v>3</v>
      </c>
      <c r="N294">
        <v>1124</v>
      </c>
      <c r="O294" t="str" cm="1">
        <f t="array" ref="O29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94" t="s">
        <v>20</v>
      </c>
      <c r="Q294" s="5">
        <v>37700</v>
      </c>
      <c r="R294">
        <v>48</v>
      </c>
      <c r="S294">
        <v>9.64</v>
      </c>
      <c r="T294">
        <v>949.66</v>
      </c>
      <c r="U294">
        <v>70</v>
      </c>
      <c r="V294" t="str" cm="1">
        <f t="array" ref="V29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94" t="s">
        <v>41</v>
      </c>
      <c r="X294">
        <v>0</v>
      </c>
      <c r="Y294">
        <v>0</v>
      </c>
      <c r="Z294" s="5">
        <f>IF(Merge1[[#This Row],[loan_applications.defaulted]]=0,Merge1[[#This Row],[loan_applications.loan_amount]]*(Merge1[[#This Row],[loan_applications.interest_rate]]/100)*(Merge1[[#This Row],[loan_applications.term_months]]/12),0)</f>
        <v>14537.12</v>
      </c>
      <c r="AA294" s="5">
        <f>IF(Merge1[[#This Row],[loan_applications.defaulted]]=1,Merge1[[#This Row],[loan_applications.loan_amount]],0)</f>
        <v>0</v>
      </c>
    </row>
    <row r="295" spans="1:27" x14ac:dyDescent="0.35">
      <c r="A295" t="s">
        <v>606</v>
      </c>
      <c r="B295" t="s">
        <v>607</v>
      </c>
      <c r="C295" s="1">
        <v>45509</v>
      </c>
      <c r="D295">
        <v>23</v>
      </c>
      <c r="E295" t="s">
        <v>383</v>
      </c>
      <c r="F295" t="s">
        <v>15</v>
      </c>
      <c r="G295" t="s">
        <v>63</v>
      </c>
      <c r="H295">
        <v>2</v>
      </c>
      <c r="I295" s="5">
        <v>12549</v>
      </c>
      <c r="J295" t="str" cm="1">
        <f t="array" ref="J29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295">
        <v>791</v>
      </c>
      <c r="L295" t="s">
        <v>34</v>
      </c>
      <c r="M295">
        <v>0</v>
      </c>
      <c r="N295">
        <v>477</v>
      </c>
      <c r="O295" t="str" cm="1">
        <f t="array" ref="O29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295" t="s">
        <v>50</v>
      </c>
      <c r="Q295" s="5">
        <v>10400</v>
      </c>
      <c r="R295">
        <v>60</v>
      </c>
      <c r="S295">
        <v>7.41</v>
      </c>
      <c r="T295">
        <v>207.95</v>
      </c>
      <c r="U295">
        <v>65.5</v>
      </c>
      <c r="V295" t="str" cm="1">
        <f t="array" ref="V29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95" t="s">
        <v>41</v>
      </c>
      <c r="X295">
        <v>0</v>
      </c>
      <c r="Y295">
        <v>0</v>
      </c>
      <c r="Z295" s="5">
        <f>IF(Merge1[[#This Row],[loan_applications.defaulted]]=0,Merge1[[#This Row],[loan_applications.loan_amount]]*(Merge1[[#This Row],[loan_applications.interest_rate]]/100)*(Merge1[[#This Row],[loan_applications.term_months]]/12),0)</f>
        <v>3853.2</v>
      </c>
      <c r="AA295" s="5">
        <f>IF(Merge1[[#This Row],[loan_applications.defaulted]]=1,Merge1[[#This Row],[loan_applications.loan_amount]],0)</f>
        <v>0</v>
      </c>
    </row>
    <row r="296" spans="1:27" x14ac:dyDescent="0.35">
      <c r="A296" t="s">
        <v>608</v>
      </c>
      <c r="B296" t="s">
        <v>609</v>
      </c>
      <c r="C296" s="1">
        <v>45588</v>
      </c>
      <c r="D296">
        <v>65</v>
      </c>
      <c r="E296" t="s">
        <v>105</v>
      </c>
      <c r="F296" t="s">
        <v>32</v>
      </c>
      <c r="G296" t="s">
        <v>75</v>
      </c>
      <c r="H296">
        <v>33</v>
      </c>
      <c r="I296" s="5">
        <v>31222</v>
      </c>
      <c r="J296" t="str" cm="1">
        <f t="array" ref="J29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96">
        <v>574</v>
      </c>
      <c r="L296" t="s">
        <v>27</v>
      </c>
      <c r="M296">
        <v>2</v>
      </c>
      <c r="N296">
        <v>458</v>
      </c>
      <c r="O296" t="str" cm="1">
        <f t="array" ref="O29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96" t="s">
        <v>54</v>
      </c>
      <c r="Q296" s="5">
        <v>14200</v>
      </c>
      <c r="R296">
        <v>12</v>
      </c>
      <c r="S296">
        <v>12.28</v>
      </c>
      <c r="T296">
        <v>1263.51</v>
      </c>
      <c r="U296">
        <v>66.2</v>
      </c>
      <c r="V296" t="str" cm="1">
        <f t="array" ref="V29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296" t="s">
        <v>24</v>
      </c>
      <c r="X296">
        <v>69</v>
      </c>
      <c r="Y296">
        <v>1</v>
      </c>
      <c r="Z29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96" s="5">
        <f>IF(Merge1[[#This Row],[loan_applications.defaulted]]=1,Merge1[[#This Row],[loan_applications.loan_amount]],0)</f>
        <v>14200</v>
      </c>
    </row>
    <row r="297" spans="1:27" x14ac:dyDescent="0.35">
      <c r="A297" t="s">
        <v>610</v>
      </c>
      <c r="B297" t="s">
        <v>611</v>
      </c>
      <c r="C297" s="1">
        <v>45438</v>
      </c>
      <c r="D297">
        <v>44</v>
      </c>
      <c r="E297" t="s">
        <v>162</v>
      </c>
      <c r="F297" t="s">
        <v>68</v>
      </c>
      <c r="G297" t="s">
        <v>26</v>
      </c>
      <c r="H297">
        <v>14</v>
      </c>
      <c r="I297" s="5">
        <v>46634</v>
      </c>
      <c r="J297" t="str" cm="1">
        <f t="array" ref="J29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297">
        <v>737</v>
      </c>
      <c r="L297" t="s">
        <v>34</v>
      </c>
      <c r="M297">
        <v>0</v>
      </c>
      <c r="N297">
        <v>1523</v>
      </c>
      <c r="O297" t="str" cm="1">
        <f t="array" ref="O29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297" t="s">
        <v>37</v>
      </c>
      <c r="Q297" s="5">
        <v>16600</v>
      </c>
      <c r="R297">
        <v>48</v>
      </c>
      <c r="S297">
        <v>7.86</v>
      </c>
      <c r="T297">
        <v>404.16</v>
      </c>
      <c r="U297">
        <v>49.6</v>
      </c>
      <c r="V297" t="str" cm="1">
        <f t="array" ref="V29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97" t="s">
        <v>41</v>
      </c>
      <c r="X297">
        <v>0</v>
      </c>
      <c r="Y297">
        <v>0</v>
      </c>
      <c r="Z297" s="5">
        <f>IF(Merge1[[#This Row],[loan_applications.defaulted]]=0,Merge1[[#This Row],[loan_applications.loan_amount]]*(Merge1[[#This Row],[loan_applications.interest_rate]]/100)*(Merge1[[#This Row],[loan_applications.term_months]]/12),0)</f>
        <v>5219.04</v>
      </c>
      <c r="AA297" s="5">
        <f>IF(Merge1[[#This Row],[loan_applications.defaulted]]=1,Merge1[[#This Row],[loan_applications.loan_amount]],0)</f>
        <v>0</v>
      </c>
    </row>
    <row r="298" spans="1:27" x14ac:dyDescent="0.35">
      <c r="A298" t="s">
        <v>612</v>
      </c>
      <c r="B298" t="s">
        <v>613</v>
      </c>
      <c r="C298" s="1">
        <v>45649</v>
      </c>
      <c r="D298">
        <v>27</v>
      </c>
      <c r="E298" t="s">
        <v>109</v>
      </c>
      <c r="F298" t="s">
        <v>32</v>
      </c>
      <c r="G298" t="s">
        <v>33</v>
      </c>
      <c r="H298">
        <v>6</v>
      </c>
      <c r="I298" s="5">
        <v>89061</v>
      </c>
      <c r="J298" t="str" cm="1">
        <f t="array" ref="J29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98">
        <v>587</v>
      </c>
      <c r="L298" t="s">
        <v>34</v>
      </c>
      <c r="M298">
        <v>1</v>
      </c>
      <c r="N298">
        <v>2733</v>
      </c>
      <c r="O298" t="str" cm="1">
        <f t="array" ref="O29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98" t="s">
        <v>37</v>
      </c>
      <c r="Q298" s="5">
        <v>41100</v>
      </c>
      <c r="R298">
        <v>48</v>
      </c>
      <c r="S298">
        <v>10.23</v>
      </c>
      <c r="T298">
        <v>1046.95</v>
      </c>
      <c r="U298">
        <v>50.9</v>
      </c>
      <c r="V298" t="str" cm="1">
        <f t="array" ref="V29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298" t="s">
        <v>24</v>
      </c>
      <c r="X298">
        <v>41</v>
      </c>
      <c r="Y298">
        <v>1</v>
      </c>
      <c r="Z29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298" s="5">
        <f>IF(Merge1[[#This Row],[loan_applications.defaulted]]=1,Merge1[[#This Row],[loan_applications.loan_amount]],0)</f>
        <v>41100</v>
      </c>
    </row>
    <row r="299" spans="1:27" x14ac:dyDescent="0.35">
      <c r="A299" t="s">
        <v>614</v>
      </c>
      <c r="B299" t="s">
        <v>613</v>
      </c>
      <c r="C299" s="1">
        <v>45678</v>
      </c>
      <c r="D299">
        <v>27</v>
      </c>
      <c r="E299" t="s">
        <v>109</v>
      </c>
      <c r="F299" t="s">
        <v>32</v>
      </c>
      <c r="G299" t="s">
        <v>33</v>
      </c>
      <c r="H299">
        <v>6</v>
      </c>
      <c r="I299" s="5">
        <v>89061</v>
      </c>
      <c r="J299" t="str" cm="1">
        <f t="array" ref="J29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299">
        <v>587</v>
      </c>
      <c r="L299" t="s">
        <v>34</v>
      </c>
      <c r="M299">
        <v>1</v>
      </c>
      <c r="N299">
        <v>2733</v>
      </c>
      <c r="O299" t="str" cm="1">
        <f t="array" ref="O29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299" t="s">
        <v>23</v>
      </c>
      <c r="Q299" s="5">
        <v>16900</v>
      </c>
      <c r="R299">
        <v>48</v>
      </c>
      <c r="S299">
        <v>14.72</v>
      </c>
      <c r="T299">
        <v>467.94</v>
      </c>
      <c r="U299">
        <v>43.1</v>
      </c>
      <c r="V299" t="str" cm="1">
        <f t="array" ref="V29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299" t="s">
        <v>91</v>
      </c>
      <c r="X299">
        <v>0</v>
      </c>
      <c r="Y299">
        <v>0</v>
      </c>
      <c r="Z299" s="5">
        <f>IF(Merge1[[#This Row],[loan_applications.defaulted]]=0,Merge1[[#This Row],[loan_applications.loan_amount]]*(Merge1[[#This Row],[loan_applications.interest_rate]]/100)*(Merge1[[#This Row],[loan_applications.term_months]]/12),0)</f>
        <v>9950.7199999999993</v>
      </c>
      <c r="AA299" s="5">
        <f>IF(Merge1[[#This Row],[loan_applications.defaulted]]=1,Merge1[[#This Row],[loan_applications.loan_amount]],0)</f>
        <v>0</v>
      </c>
    </row>
    <row r="300" spans="1:27" x14ac:dyDescent="0.35">
      <c r="A300" t="s">
        <v>615</v>
      </c>
      <c r="B300" t="s">
        <v>616</v>
      </c>
      <c r="C300" s="1">
        <v>45625</v>
      </c>
      <c r="D300">
        <v>66</v>
      </c>
      <c r="E300" t="s">
        <v>61</v>
      </c>
      <c r="F300" t="s">
        <v>15</v>
      </c>
      <c r="G300" t="s">
        <v>26</v>
      </c>
      <c r="H300">
        <v>6</v>
      </c>
      <c r="I300" s="5">
        <v>37673</v>
      </c>
      <c r="J300" t="str" cm="1">
        <f t="array" ref="J30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00">
        <v>694</v>
      </c>
      <c r="L300" t="s">
        <v>17</v>
      </c>
      <c r="M300">
        <v>0</v>
      </c>
      <c r="N300">
        <v>488</v>
      </c>
      <c r="O300" t="str" cm="1">
        <f t="array" ref="O30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00" t="s">
        <v>30</v>
      </c>
      <c r="Q300" s="5">
        <v>31000</v>
      </c>
      <c r="R300">
        <v>48</v>
      </c>
      <c r="S300">
        <v>9.18</v>
      </c>
      <c r="T300">
        <v>774.09</v>
      </c>
      <c r="U300">
        <v>40.200000000000003</v>
      </c>
      <c r="V300" t="str" cm="1">
        <f t="array" ref="V30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00" t="s">
        <v>24</v>
      </c>
      <c r="X300">
        <v>134</v>
      </c>
      <c r="Y300">
        <v>1</v>
      </c>
      <c r="Z30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00" s="5">
        <f>IF(Merge1[[#This Row],[loan_applications.defaulted]]=1,Merge1[[#This Row],[loan_applications.loan_amount]],0)</f>
        <v>31000</v>
      </c>
    </row>
    <row r="301" spans="1:27" x14ac:dyDescent="0.35">
      <c r="A301" t="s">
        <v>617</v>
      </c>
      <c r="B301" t="s">
        <v>618</v>
      </c>
      <c r="C301" s="1">
        <v>45382</v>
      </c>
      <c r="D301">
        <v>66</v>
      </c>
      <c r="E301" t="s">
        <v>157</v>
      </c>
      <c r="F301" t="s">
        <v>62</v>
      </c>
      <c r="G301" t="s">
        <v>26</v>
      </c>
      <c r="H301">
        <v>17</v>
      </c>
      <c r="I301" s="5">
        <v>58595</v>
      </c>
      <c r="J301" t="str" cm="1">
        <f t="array" ref="J30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01">
        <v>568</v>
      </c>
      <c r="L301" t="s">
        <v>17</v>
      </c>
      <c r="M301">
        <v>2</v>
      </c>
      <c r="N301">
        <v>682</v>
      </c>
      <c r="O301" t="str" cm="1">
        <f t="array" ref="O30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01" t="s">
        <v>23</v>
      </c>
      <c r="Q301" s="5">
        <v>3800</v>
      </c>
      <c r="R301">
        <v>48</v>
      </c>
      <c r="S301">
        <v>14.21</v>
      </c>
      <c r="T301">
        <v>104.24</v>
      </c>
      <c r="U301">
        <v>16.100000000000001</v>
      </c>
      <c r="V301" t="str" cm="1">
        <f t="array" ref="V30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301" t="s">
        <v>41</v>
      </c>
      <c r="X301">
        <v>0</v>
      </c>
      <c r="Y301">
        <v>0</v>
      </c>
      <c r="Z301" s="5">
        <f>IF(Merge1[[#This Row],[loan_applications.defaulted]]=0,Merge1[[#This Row],[loan_applications.loan_amount]]*(Merge1[[#This Row],[loan_applications.interest_rate]]/100)*(Merge1[[#This Row],[loan_applications.term_months]]/12),0)</f>
        <v>2159.92</v>
      </c>
      <c r="AA301" s="5">
        <f>IF(Merge1[[#This Row],[loan_applications.defaulted]]=1,Merge1[[#This Row],[loan_applications.loan_amount]],0)</f>
        <v>0</v>
      </c>
    </row>
    <row r="302" spans="1:27" x14ac:dyDescent="0.35">
      <c r="A302" t="s">
        <v>619</v>
      </c>
      <c r="B302" t="s">
        <v>620</v>
      </c>
      <c r="C302" s="1">
        <v>45346</v>
      </c>
      <c r="D302">
        <v>42</v>
      </c>
      <c r="E302" t="s">
        <v>157</v>
      </c>
      <c r="F302" t="s">
        <v>15</v>
      </c>
      <c r="G302" t="s">
        <v>26</v>
      </c>
      <c r="H302">
        <v>2</v>
      </c>
      <c r="I302" s="5">
        <v>27475</v>
      </c>
      <c r="J302" t="str" cm="1">
        <f t="array" ref="J30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02">
        <v>728</v>
      </c>
      <c r="L302" t="s">
        <v>34</v>
      </c>
      <c r="M302">
        <v>0</v>
      </c>
      <c r="N302">
        <v>1069</v>
      </c>
      <c r="O302" t="str" cm="1">
        <f t="array" ref="O30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02" t="s">
        <v>37</v>
      </c>
      <c r="Q302" s="5">
        <v>5100</v>
      </c>
      <c r="R302">
        <v>60</v>
      </c>
      <c r="S302">
        <v>8.2899999999999991</v>
      </c>
      <c r="T302">
        <v>104.12</v>
      </c>
      <c r="U302">
        <v>51.2</v>
      </c>
      <c r="V302" t="str" cm="1">
        <f t="array" ref="V30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02" t="s">
        <v>21</v>
      </c>
      <c r="X302">
        <v>0</v>
      </c>
      <c r="Y302">
        <v>0</v>
      </c>
      <c r="Z302" s="5">
        <f>IF(Merge1[[#This Row],[loan_applications.defaulted]]=0,Merge1[[#This Row],[loan_applications.loan_amount]]*(Merge1[[#This Row],[loan_applications.interest_rate]]/100)*(Merge1[[#This Row],[loan_applications.term_months]]/12),0)</f>
        <v>2113.9499999999998</v>
      </c>
      <c r="AA302" s="5">
        <f>IF(Merge1[[#This Row],[loan_applications.defaulted]]=1,Merge1[[#This Row],[loan_applications.loan_amount]],0)</f>
        <v>0</v>
      </c>
    </row>
    <row r="303" spans="1:27" x14ac:dyDescent="0.35">
      <c r="A303" t="s">
        <v>621</v>
      </c>
      <c r="B303" t="s">
        <v>622</v>
      </c>
      <c r="C303" s="1">
        <v>45573</v>
      </c>
      <c r="D303">
        <v>46</v>
      </c>
      <c r="E303" t="s">
        <v>79</v>
      </c>
      <c r="F303" t="s">
        <v>32</v>
      </c>
      <c r="G303" t="s">
        <v>26</v>
      </c>
      <c r="H303">
        <v>25</v>
      </c>
      <c r="I303" s="5">
        <v>65089</v>
      </c>
      <c r="J303" t="str" cm="1">
        <f t="array" ref="J30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03">
        <v>606</v>
      </c>
      <c r="L303" t="s">
        <v>17</v>
      </c>
      <c r="M303">
        <v>0</v>
      </c>
      <c r="N303">
        <v>2292</v>
      </c>
      <c r="O303" t="str" cm="1">
        <f t="array" ref="O30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03" t="s">
        <v>60</v>
      </c>
      <c r="Q303" s="5">
        <v>27200</v>
      </c>
      <c r="R303">
        <v>24</v>
      </c>
      <c r="S303">
        <v>14.71</v>
      </c>
      <c r="T303">
        <v>1315.09</v>
      </c>
      <c r="U303">
        <v>66.5</v>
      </c>
      <c r="V303" t="str" cm="1">
        <f t="array" ref="V30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03" t="s">
        <v>21</v>
      </c>
      <c r="X303">
        <v>0</v>
      </c>
      <c r="Y303">
        <v>0</v>
      </c>
      <c r="Z303" s="5">
        <f>IF(Merge1[[#This Row],[loan_applications.defaulted]]=0,Merge1[[#This Row],[loan_applications.loan_amount]]*(Merge1[[#This Row],[loan_applications.interest_rate]]/100)*(Merge1[[#This Row],[loan_applications.term_months]]/12),0)</f>
        <v>8002.2400000000007</v>
      </c>
      <c r="AA303" s="5">
        <f>IF(Merge1[[#This Row],[loan_applications.defaulted]]=1,Merge1[[#This Row],[loan_applications.loan_amount]],0)</f>
        <v>0</v>
      </c>
    </row>
    <row r="304" spans="1:27" x14ac:dyDescent="0.35">
      <c r="A304" t="s">
        <v>623</v>
      </c>
      <c r="B304" t="s">
        <v>624</v>
      </c>
      <c r="C304" s="1">
        <v>45338</v>
      </c>
      <c r="D304">
        <v>44</v>
      </c>
      <c r="E304" t="s">
        <v>252</v>
      </c>
      <c r="F304" t="s">
        <v>15</v>
      </c>
      <c r="G304" t="s">
        <v>26</v>
      </c>
      <c r="H304">
        <v>19</v>
      </c>
      <c r="I304" s="5">
        <v>51921</v>
      </c>
      <c r="J304" t="str" cm="1">
        <f t="array" ref="J30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04">
        <v>704</v>
      </c>
      <c r="L304" t="s">
        <v>17</v>
      </c>
      <c r="M304">
        <v>1</v>
      </c>
      <c r="N304">
        <v>1889</v>
      </c>
      <c r="O304" t="str" cm="1">
        <f t="array" ref="O30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04" t="s">
        <v>20</v>
      </c>
      <c r="Q304" s="5">
        <v>12100</v>
      </c>
      <c r="R304">
        <v>36</v>
      </c>
      <c r="S304">
        <v>10.28</v>
      </c>
      <c r="T304">
        <v>392.03</v>
      </c>
      <c r="U304">
        <v>52.7</v>
      </c>
      <c r="V304" t="str" cm="1">
        <f t="array" ref="V30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04" t="s">
        <v>91</v>
      </c>
      <c r="X304">
        <v>15</v>
      </c>
      <c r="Y304">
        <v>0</v>
      </c>
      <c r="Z304" s="5">
        <f>IF(Merge1[[#This Row],[loan_applications.defaulted]]=0,Merge1[[#This Row],[loan_applications.loan_amount]]*(Merge1[[#This Row],[loan_applications.interest_rate]]/100)*(Merge1[[#This Row],[loan_applications.term_months]]/12),0)</f>
        <v>3731.6399999999994</v>
      </c>
      <c r="AA304" s="5">
        <f>IF(Merge1[[#This Row],[loan_applications.defaulted]]=1,Merge1[[#This Row],[loan_applications.loan_amount]],0)</f>
        <v>0</v>
      </c>
    </row>
    <row r="305" spans="1:27" x14ac:dyDescent="0.35">
      <c r="A305" t="s">
        <v>625</v>
      </c>
      <c r="B305" t="s">
        <v>624</v>
      </c>
      <c r="C305" s="1">
        <v>45385</v>
      </c>
      <c r="D305">
        <v>44</v>
      </c>
      <c r="E305" t="s">
        <v>252</v>
      </c>
      <c r="F305" t="s">
        <v>15</v>
      </c>
      <c r="G305" t="s">
        <v>26</v>
      </c>
      <c r="H305">
        <v>19</v>
      </c>
      <c r="I305" s="5">
        <v>51921</v>
      </c>
      <c r="J305" t="str" cm="1">
        <f t="array" ref="J30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05">
        <v>704</v>
      </c>
      <c r="L305" t="s">
        <v>17</v>
      </c>
      <c r="M305">
        <v>1</v>
      </c>
      <c r="N305">
        <v>1889</v>
      </c>
      <c r="O305" t="str" cm="1">
        <f t="array" ref="O30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05" t="s">
        <v>50</v>
      </c>
      <c r="Q305" s="5">
        <v>35900</v>
      </c>
      <c r="R305">
        <v>36</v>
      </c>
      <c r="S305">
        <v>10.18</v>
      </c>
      <c r="T305">
        <v>1161.43</v>
      </c>
      <c r="U305">
        <v>70.5</v>
      </c>
      <c r="V305" t="str" cm="1">
        <f t="array" ref="V30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05" t="s">
        <v>24</v>
      </c>
      <c r="X305">
        <v>55</v>
      </c>
      <c r="Y305">
        <v>1</v>
      </c>
      <c r="Z30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05" s="5">
        <f>IF(Merge1[[#This Row],[loan_applications.defaulted]]=1,Merge1[[#This Row],[loan_applications.loan_amount]],0)</f>
        <v>35900</v>
      </c>
    </row>
    <row r="306" spans="1:27" x14ac:dyDescent="0.35">
      <c r="A306" t="s">
        <v>626</v>
      </c>
      <c r="B306" t="s">
        <v>627</v>
      </c>
      <c r="C306" s="1">
        <v>45709</v>
      </c>
      <c r="D306">
        <v>23</v>
      </c>
      <c r="E306" t="s">
        <v>67</v>
      </c>
      <c r="F306" t="s">
        <v>32</v>
      </c>
      <c r="G306" t="s">
        <v>16</v>
      </c>
      <c r="H306">
        <v>2</v>
      </c>
      <c r="I306" s="5">
        <v>69345</v>
      </c>
      <c r="J306" t="str" cm="1">
        <f t="array" ref="J30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06">
        <v>651</v>
      </c>
      <c r="L306" t="s">
        <v>34</v>
      </c>
      <c r="M306">
        <v>1</v>
      </c>
      <c r="N306">
        <v>2252</v>
      </c>
      <c r="O306" t="str" cm="1">
        <f t="array" ref="O30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06" t="s">
        <v>37</v>
      </c>
      <c r="Q306" s="5">
        <v>9900</v>
      </c>
      <c r="R306">
        <v>12</v>
      </c>
      <c r="S306">
        <v>9.92</v>
      </c>
      <c r="T306">
        <v>870</v>
      </c>
      <c r="U306">
        <v>54</v>
      </c>
      <c r="V306" t="str" cm="1">
        <f t="array" ref="V30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06" t="s">
        <v>21</v>
      </c>
      <c r="X306">
        <v>0</v>
      </c>
      <c r="Y306">
        <v>0</v>
      </c>
      <c r="Z306" s="5">
        <f>IF(Merge1[[#This Row],[loan_applications.defaulted]]=0,Merge1[[#This Row],[loan_applications.loan_amount]]*(Merge1[[#This Row],[loan_applications.interest_rate]]/100)*(Merge1[[#This Row],[loan_applications.term_months]]/12),0)</f>
        <v>982.07999999999993</v>
      </c>
      <c r="AA306" s="5">
        <f>IF(Merge1[[#This Row],[loan_applications.defaulted]]=1,Merge1[[#This Row],[loan_applications.loan_amount]],0)</f>
        <v>0</v>
      </c>
    </row>
    <row r="307" spans="1:27" x14ac:dyDescent="0.35">
      <c r="A307" t="s">
        <v>628</v>
      </c>
      <c r="B307" t="s">
        <v>629</v>
      </c>
      <c r="C307" s="1">
        <v>45623</v>
      </c>
      <c r="D307">
        <v>64</v>
      </c>
      <c r="E307" t="s">
        <v>193</v>
      </c>
      <c r="F307" t="s">
        <v>32</v>
      </c>
      <c r="G307" t="s">
        <v>16</v>
      </c>
      <c r="H307">
        <v>4</v>
      </c>
      <c r="I307" s="5">
        <v>59445</v>
      </c>
      <c r="J307" t="str" cm="1">
        <f t="array" ref="J30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07">
        <v>656</v>
      </c>
      <c r="L307" t="s">
        <v>27</v>
      </c>
      <c r="M307">
        <v>1</v>
      </c>
      <c r="N307">
        <v>2189</v>
      </c>
      <c r="O307" t="str" cm="1">
        <f t="array" ref="O30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07" t="s">
        <v>60</v>
      </c>
      <c r="Q307" s="5">
        <v>5700</v>
      </c>
      <c r="R307">
        <v>24</v>
      </c>
      <c r="S307">
        <v>11.13</v>
      </c>
      <c r="T307">
        <v>266.01</v>
      </c>
      <c r="U307">
        <v>49.6</v>
      </c>
      <c r="V307" t="str" cm="1">
        <f t="array" ref="V30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07" t="s">
        <v>91</v>
      </c>
      <c r="X307">
        <v>15</v>
      </c>
      <c r="Y307">
        <v>0</v>
      </c>
      <c r="Z307" s="5">
        <f>IF(Merge1[[#This Row],[loan_applications.defaulted]]=0,Merge1[[#This Row],[loan_applications.loan_amount]]*(Merge1[[#This Row],[loan_applications.interest_rate]]/100)*(Merge1[[#This Row],[loan_applications.term_months]]/12),0)</f>
        <v>1268.8200000000002</v>
      </c>
      <c r="AA307" s="5">
        <f>IF(Merge1[[#This Row],[loan_applications.defaulted]]=1,Merge1[[#This Row],[loan_applications.loan_amount]],0)</f>
        <v>0</v>
      </c>
    </row>
    <row r="308" spans="1:27" x14ac:dyDescent="0.35">
      <c r="A308" t="s">
        <v>630</v>
      </c>
      <c r="B308" t="s">
        <v>631</v>
      </c>
      <c r="C308" s="1">
        <v>45808</v>
      </c>
      <c r="D308">
        <v>31</v>
      </c>
      <c r="E308" t="s">
        <v>169</v>
      </c>
      <c r="F308" t="s">
        <v>62</v>
      </c>
      <c r="G308" t="s">
        <v>26</v>
      </c>
      <c r="H308">
        <v>4</v>
      </c>
      <c r="I308" s="5">
        <v>63742</v>
      </c>
      <c r="J308" t="str" cm="1">
        <f t="array" ref="J30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08">
        <v>537</v>
      </c>
      <c r="L308" t="s">
        <v>34</v>
      </c>
      <c r="M308">
        <v>0</v>
      </c>
      <c r="N308">
        <v>617</v>
      </c>
      <c r="O308" t="str" cm="1">
        <f t="array" ref="O30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08" t="s">
        <v>56</v>
      </c>
      <c r="Q308" s="5">
        <v>30100</v>
      </c>
      <c r="R308">
        <v>48</v>
      </c>
      <c r="S308">
        <v>13.59</v>
      </c>
      <c r="T308">
        <v>816.35</v>
      </c>
      <c r="U308">
        <v>27</v>
      </c>
      <c r="V308" t="str" cm="1">
        <f t="array" ref="V30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08" t="s">
        <v>41</v>
      </c>
      <c r="X308">
        <v>0</v>
      </c>
      <c r="Y308">
        <v>0</v>
      </c>
      <c r="Z308" s="5">
        <f>IF(Merge1[[#This Row],[loan_applications.defaulted]]=0,Merge1[[#This Row],[loan_applications.loan_amount]]*(Merge1[[#This Row],[loan_applications.interest_rate]]/100)*(Merge1[[#This Row],[loan_applications.term_months]]/12),0)</f>
        <v>16362.359999999999</v>
      </c>
      <c r="AA308" s="5">
        <f>IF(Merge1[[#This Row],[loan_applications.defaulted]]=1,Merge1[[#This Row],[loan_applications.loan_amount]],0)</f>
        <v>0</v>
      </c>
    </row>
    <row r="309" spans="1:27" x14ac:dyDescent="0.35">
      <c r="A309" t="s">
        <v>632</v>
      </c>
      <c r="B309" t="s">
        <v>633</v>
      </c>
      <c r="C309" s="1">
        <v>45311</v>
      </c>
      <c r="D309">
        <v>33</v>
      </c>
      <c r="E309" t="s">
        <v>109</v>
      </c>
      <c r="F309" t="s">
        <v>32</v>
      </c>
      <c r="G309" t="s">
        <v>63</v>
      </c>
      <c r="H309">
        <v>0</v>
      </c>
      <c r="I309" s="5">
        <v>40311</v>
      </c>
      <c r="J309" t="str" cm="1">
        <f t="array" ref="J30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09">
        <v>582</v>
      </c>
      <c r="L309" t="s">
        <v>27</v>
      </c>
      <c r="M309">
        <v>0</v>
      </c>
      <c r="N309">
        <v>1172</v>
      </c>
      <c r="O309" t="str" cm="1">
        <f t="array" ref="O30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09" t="s">
        <v>23</v>
      </c>
      <c r="Q309" s="5">
        <v>2400</v>
      </c>
      <c r="R309">
        <v>24</v>
      </c>
      <c r="S309">
        <v>14.87</v>
      </c>
      <c r="T309">
        <v>116.22</v>
      </c>
      <c r="U309">
        <v>38.299999999999997</v>
      </c>
      <c r="V309" t="str" cm="1">
        <f t="array" ref="V30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09" t="s">
        <v>24</v>
      </c>
      <c r="X309">
        <v>180</v>
      </c>
      <c r="Y309">
        <v>1</v>
      </c>
      <c r="Z30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09" s="5">
        <f>IF(Merge1[[#This Row],[loan_applications.defaulted]]=1,Merge1[[#This Row],[loan_applications.loan_amount]],0)</f>
        <v>2400</v>
      </c>
    </row>
    <row r="310" spans="1:27" x14ac:dyDescent="0.35">
      <c r="A310" t="s">
        <v>634</v>
      </c>
      <c r="B310" t="s">
        <v>635</v>
      </c>
      <c r="C310" s="1">
        <v>45708</v>
      </c>
      <c r="D310">
        <v>42</v>
      </c>
      <c r="E310" t="s">
        <v>51</v>
      </c>
      <c r="F310" t="s">
        <v>62</v>
      </c>
      <c r="G310" t="s">
        <v>26</v>
      </c>
      <c r="H310">
        <v>17</v>
      </c>
      <c r="I310" s="5">
        <v>90104</v>
      </c>
      <c r="J310" t="str" cm="1">
        <f t="array" ref="J31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0">
        <v>583</v>
      </c>
      <c r="L310" t="s">
        <v>17</v>
      </c>
      <c r="M310">
        <v>2</v>
      </c>
      <c r="N310">
        <v>1012</v>
      </c>
      <c r="O310" t="str" cm="1">
        <f t="array" ref="O31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10" t="s">
        <v>56</v>
      </c>
      <c r="Q310" s="5">
        <v>33300</v>
      </c>
      <c r="R310">
        <v>24</v>
      </c>
      <c r="S310">
        <v>11.81</v>
      </c>
      <c r="T310">
        <v>1564.59</v>
      </c>
      <c r="U310">
        <v>34.299999999999997</v>
      </c>
      <c r="V310" t="str" cm="1">
        <f t="array" ref="V31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10" t="s">
        <v>41</v>
      </c>
      <c r="X310">
        <v>0</v>
      </c>
      <c r="Y310">
        <v>0</v>
      </c>
      <c r="Z310" s="5">
        <f>IF(Merge1[[#This Row],[loan_applications.defaulted]]=0,Merge1[[#This Row],[loan_applications.loan_amount]]*(Merge1[[#This Row],[loan_applications.interest_rate]]/100)*(Merge1[[#This Row],[loan_applications.term_months]]/12),0)</f>
        <v>7865.4600000000009</v>
      </c>
      <c r="AA310" s="5">
        <f>IF(Merge1[[#This Row],[loan_applications.defaulted]]=1,Merge1[[#This Row],[loan_applications.loan_amount]],0)</f>
        <v>0</v>
      </c>
    </row>
    <row r="311" spans="1:27" x14ac:dyDescent="0.35">
      <c r="A311" t="s">
        <v>636</v>
      </c>
      <c r="B311" t="s">
        <v>637</v>
      </c>
      <c r="C311" s="1">
        <v>45725</v>
      </c>
      <c r="D311">
        <v>46</v>
      </c>
      <c r="E311" t="s">
        <v>31</v>
      </c>
      <c r="F311" t="s">
        <v>15</v>
      </c>
      <c r="G311" t="s">
        <v>26</v>
      </c>
      <c r="H311">
        <v>2</v>
      </c>
      <c r="I311" s="5">
        <v>31847</v>
      </c>
      <c r="J311" t="str" cm="1">
        <f t="array" ref="J31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11">
        <v>599</v>
      </c>
      <c r="L311" t="s">
        <v>27</v>
      </c>
      <c r="M311">
        <v>1</v>
      </c>
      <c r="N311">
        <v>775</v>
      </c>
      <c r="O311" t="str" cm="1">
        <f t="array" ref="O31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11" t="s">
        <v>50</v>
      </c>
      <c r="Q311" s="5">
        <v>23500</v>
      </c>
      <c r="R311">
        <v>24</v>
      </c>
      <c r="S311">
        <v>12.7</v>
      </c>
      <c r="T311">
        <v>1113.92</v>
      </c>
      <c r="U311">
        <v>71.2</v>
      </c>
      <c r="V311" t="str" cm="1">
        <f t="array" ref="V31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11" t="s">
        <v>41</v>
      </c>
      <c r="X311">
        <v>0</v>
      </c>
      <c r="Y311">
        <v>0</v>
      </c>
      <c r="Z311" s="5">
        <f>IF(Merge1[[#This Row],[loan_applications.defaulted]]=0,Merge1[[#This Row],[loan_applications.loan_amount]]*(Merge1[[#This Row],[loan_applications.interest_rate]]/100)*(Merge1[[#This Row],[loan_applications.term_months]]/12),0)</f>
        <v>5969</v>
      </c>
      <c r="AA311" s="5">
        <f>IF(Merge1[[#This Row],[loan_applications.defaulted]]=1,Merge1[[#This Row],[loan_applications.loan_amount]],0)</f>
        <v>0</v>
      </c>
    </row>
    <row r="312" spans="1:27" x14ac:dyDescent="0.35">
      <c r="A312" t="s">
        <v>638</v>
      </c>
      <c r="B312" t="s">
        <v>639</v>
      </c>
      <c r="C312" s="1">
        <v>45785</v>
      </c>
      <c r="D312">
        <v>26</v>
      </c>
      <c r="E312" t="s">
        <v>95</v>
      </c>
      <c r="F312" t="s">
        <v>32</v>
      </c>
      <c r="G312" t="s">
        <v>75</v>
      </c>
      <c r="H312">
        <v>4</v>
      </c>
      <c r="I312" s="5">
        <v>51955</v>
      </c>
      <c r="J312" t="str" cm="1">
        <f t="array" ref="J31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12">
        <v>783</v>
      </c>
      <c r="L312" t="s">
        <v>34</v>
      </c>
      <c r="M312">
        <v>0</v>
      </c>
      <c r="N312">
        <v>876</v>
      </c>
      <c r="O312" t="str" cm="1">
        <f t="array" ref="O31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12" t="s">
        <v>71</v>
      </c>
      <c r="Q312" s="5">
        <v>32700</v>
      </c>
      <c r="R312">
        <v>12</v>
      </c>
      <c r="S312">
        <v>7.25</v>
      </c>
      <c r="T312">
        <v>2833.19</v>
      </c>
      <c r="U312">
        <v>85.7</v>
      </c>
      <c r="V312" t="str" cm="1">
        <f t="array" ref="V31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12" t="s">
        <v>91</v>
      </c>
      <c r="X312">
        <v>0</v>
      </c>
      <c r="Y312">
        <v>0</v>
      </c>
      <c r="Z312" s="5">
        <f>IF(Merge1[[#This Row],[loan_applications.defaulted]]=0,Merge1[[#This Row],[loan_applications.loan_amount]]*(Merge1[[#This Row],[loan_applications.interest_rate]]/100)*(Merge1[[#This Row],[loan_applications.term_months]]/12),0)</f>
        <v>2370.75</v>
      </c>
      <c r="AA312" s="5">
        <f>IF(Merge1[[#This Row],[loan_applications.defaulted]]=1,Merge1[[#This Row],[loan_applications.loan_amount]],0)</f>
        <v>0</v>
      </c>
    </row>
    <row r="313" spans="1:27" x14ac:dyDescent="0.35">
      <c r="A313" t="s">
        <v>640</v>
      </c>
      <c r="B313" t="s">
        <v>639</v>
      </c>
      <c r="C313" s="1">
        <v>45457</v>
      </c>
      <c r="D313">
        <v>26</v>
      </c>
      <c r="E313" t="s">
        <v>95</v>
      </c>
      <c r="F313" t="s">
        <v>32</v>
      </c>
      <c r="G313" t="s">
        <v>75</v>
      </c>
      <c r="H313">
        <v>4</v>
      </c>
      <c r="I313" s="5">
        <v>51955</v>
      </c>
      <c r="J313" t="str" cm="1">
        <f t="array" ref="J31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13">
        <v>783</v>
      </c>
      <c r="L313" t="s">
        <v>34</v>
      </c>
      <c r="M313">
        <v>0</v>
      </c>
      <c r="N313">
        <v>876</v>
      </c>
      <c r="O313" t="str" cm="1">
        <f t="array" ref="O31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13" t="s">
        <v>45</v>
      </c>
      <c r="Q313" s="5">
        <v>12200</v>
      </c>
      <c r="R313">
        <v>60</v>
      </c>
      <c r="S313">
        <v>8.36</v>
      </c>
      <c r="T313">
        <v>249.48</v>
      </c>
      <c r="U313">
        <v>26</v>
      </c>
      <c r="V313" t="str" cm="1">
        <f t="array" ref="V31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13" t="s">
        <v>41</v>
      </c>
      <c r="X313">
        <v>0</v>
      </c>
      <c r="Y313">
        <v>0</v>
      </c>
      <c r="Z313" s="5">
        <f>IF(Merge1[[#This Row],[loan_applications.defaulted]]=0,Merge1[[#This Row],[loan_applications.loan_amount]]*(Merge1[[#This Row],[loan_applications.interest_rate]]/100)*(Merge1[[#This Row],[loan_applications.term_months]]/12),0)</f>
        <v>5099.5999999999995</v>
      </c>
      <c r="AA313" s="5">
        <f>IF(Merge1[[#This Row],[loan_applications.defaulted]]=1,Merge1[[#This Row],[loan_applications.loan_amount]],0)</f>
        <v>0</v>
      </c>
    </row>
    <row r="314" spans="1:27" x14ac:dyDescent="0.35">
      <c r="A314" t="s">
        <v>641</v>
      </c>
      <c r="B314" t="s">
        <v>642</v>
      </c>
      <c r="C314" s="1">
        <v>45507</v>
      </c>
      <c r="D314">
        <v>47</v>
      </c>
      <c r="E314" t="s">
        <v>46</v>
      </c>
      <c r="F314" t="s">
        <v>68</v>
      </c>
      <c r="G314" t="s">
        <v>63</v>
      </c>
      <c r="H314">
        <v>14</v>
      </c>
      <c r="I314" s="5">
        <v>36601</v>
      </c>
      <c r="J314" t="str" cm="1">
        <f t="array" ref="J31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4">
        <v>693</v>
      </c>
      <c r="L314" t="s">
        <v>34</v>
      </c>
      <c r="M314">
        <v>3</v>
      </c>
      <c r="N314">
        <v>1145</v>
      </c>
      <c r="O314" t="str" cm="1">
        <f t="array" ref="O31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14" t="s">
        <v>54</v>
      </c>
      <c r="Q314" s="5">
        <v>35000</v>
      </c>
      <c r="R314">
        <v>36</v>
      </c>
      <c r="S314">
        <v>12.84</v>
      </c>
      <c r="T314">
        <v>1176.5899999999999</v>
      </c>
      <c r="U314">
        <v>76.099999999999994</v>
      </c>
      <c r="V314" t="str" cm="1">
        <f t="array" ref="V31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14" t="s">
        <v>91</v>
      </c>
      <c r="X314">
        <v>30</v>
      </c>
      <c r="Y314">
        <v>0</v>
      </c>
      <c r="Z314" s="5">
        <f>IF(Merge1[[#This Row],[loan_applications.defaulted]]=0,Merge1[[#This Row],[loan_applications.loan_amount]]*(Merge1[[#This Row],[loan_applications.interest_rate]]/100)*(Merge1[[#This Row],[loan_applications.term_months]]/12),0)</f>
        <v>13481.999999999996</v>
      </c>
      <c r="AA314" s="5">
        <f>IF(Merge1[[#This Row],[loan_applications.defaulted]]=1,Merge1[[#This Row],[loan_applications.loan_amount]],0)</f>
        <v>0</v>
      </c>
    </row>
    <row r="315" spans="1:27" x14ac:dyDescent="0.35">
      <c r="A315" t="s">
        <v>643</v>
      </c>
      <c r="B315" t="s">
        <v>644</v>
      </c>
      <c r="C315" s="1">
        <v>45621</v>
      </c>
      <c r="D315">
        <v>60</v>
      </c>
      <c r="E315" t="s">
        <v>67</v>
      </c>
      <c r="F315" t="s">
        <v>15</v>
      </c>
      <c r="G315" t="s">
        <v>26</v>
      </c>
      <c r="H315">
        <v>30</v>
      </c>
      <c r="I315" s="5">
        <v>55744</v>
      </c>
      <c r="J315" t="str" cm="1">
        <f t="array" ref="J31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5">
        <v>632</v>
      </c>
      <c r="L315" t="s">
        <v>34</v>
      </c>
      <c r="M315">
        <v>4</v>
      </c>
      <c r="N315">
        <v>909</v>
      </c>
      <c r="O315" t="str" cm="1">
        <f t="array" ref="O31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15" t="s">
        <v>45</v>
      </c>
      <c r="Q315" s="5">
        <v>49000</v>
      </c>
      <c r="R315">
        <v>48</v>
      </c>
      <c r="S315">
        <v>10.83</v>
      </c>
      <c r="T315">
        <v>1262.3900000000001</v>
      </c>
      <c r="U315">
        <v>46.7</v>
      </c>
      <c r="V315" t="str" cm="1">
        <f t="array" ref="V31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15" t="s">
        <v>41</v>
      </c>
      <c r="X315">
        <v>0</v>
      </c>
      <c r="Y315">
        <v>0</v>
      </c>
      <c r="Z315" s="5">
        <f>IF(Merge1[[#This Row],[loan_applications.defaulted]]=0,Merge1[[#This Row],[loan_applications.loan_amount]]*(Merge1[[#This Row],[loan_applications.interest_rate]]/100)*(Merge1[[#This Row],[loan_applications.term_months]]/12),0)</f>
        <v>21226.800000000003</v>
      </c>
      <c r="AA315" s="5">
        <f>IF(Merge1[[#This Row],[loan_applications.defaulted]]=1,Merge1[[#This Row],[loan_applications.loan_amount]],0)</f>
        <v>0</v>
      </c>
    </row>
    <row r="316" spans="1:27" x14ac:dyDescent="0.35">
      <c r="A316" t="s">
        <v>645</v>
      </c>
      <c r="B316" t="s">
        <v>646</v>
      </c>
      <c r="C316" s="1">
        <v>45301</v>
      </c>
      <c r="D316">
        <v>66</v>
      </c>
      <c r="E316" t="s">
        <v>57</v>
      </c>
      <c r="F316" t="s">
        <v>32</v>
      </c>
      <c r="G316" t="s">
        <v>75</v>
      </c>
      <c r="H316">
        <v>24</v>
      </c>
      <c r="I316" s="5">
        <v>54293</v>
      </c>
      <c r="J316" t="str" cm="1">
        <f t="array" ref="J31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6">
        <v>696</v>
      </c>
      <c r="L316" t="s">
        <v>34</v>
      </c>
      <c r="M316">
        <v>1</v>
      </c>
      <c r="N316">
        <v>483</v>
      </c>
      <c r="O316" t="str" cm="1">
        <f t="array" ref="O31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16" t="s">
        <v>50</v>
      </c>
      <c r="Q316" s="5">
        <v>2100</v>
      </c>
      <c r="R316">
        <v>48</v>
      </c>
      <c r="S316">
        <v>8.42</v>
      </c>
      <c r="T316">
        <v>51.68</v>
      </c>
      <c r="U316">
        <v>11.8</v>
      </c>
      <c r="V316" t="str" cm="1">
        <f t="array" ref="V31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316" t="s">
        <v>21</v>
      </c>
      <c r="X316">
        <v>0</v>
      </c>
      <c r="Y316">
        <v>0</v>
      </c>
      <c r="Z316" s="5">
        <f>IF(Merge1[[#This Row],[loan_applications.defaulted]]=0,Merge1[[#This Row],[loan_applications.loan_amount]]*(Merge1[[#This Row],[loan_applications.interest_rate]]/100)*(Merge1[[#This Row],[loan_applications.term_months]]/12),0)</f>
        <v>707.28</v>
      </c>
      <c r="AA316" s="5">
        <f>IF(Merge1[[#This Row],[loan_applications.defaulted]]=1,Merge1[[#This Row],[loan_applications.loan_amount]],0)</f>
        <v>0</v>
      </c>
    </row>
    <row r="317" spans="1:27" x14ac:dyDescent="0.35">
      <c r="A317" t="s">
        <v>647</v>
      </c>
      <c r="B317" t="s">
        <v>648</v>
      </c>
      <c r="C317" s="1">
        <v>45747</v>
      </c>
      <c r="D317">
        <v>58</v>
      </c>
      <c r="E317" t="s">
        <v>95</v>
      </c>
      <c r="F317" t="s">
        <v>15</v>
      </c>
      <c r="G317" t="s">
        <v>75</v>
      </c>
      <c r="H317">
        <v>1</v>
      </c>
      <c r="I317" s="5">
        <v>17239</v>
      </c>
      <c r="J317" t="str" cm="1">
        <f t="array" ref="J31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17">
        <v>801</v>
      </c>
      <c r="L317" t="s">
        <v>17</v>
      </c>
      <c r="M317">
        <v>3</v>
      </c>
      <c r="N317">
        <v>222</v>
      </c>
      <c r="O317" t="str" cm="1">
        <f t="array" ref="O31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17" t="s">
        <v>23</v>
      </c>
      <c r="Q317" s="5">
        <v>13300</v>
      </c>
      <c r="R317">
        <v>12</v>
      </c>
      <c r="S317">
        <v>9.34</v>
      </c>
      <c r="T317">
        <v>1165.2</v>
      </c>
      <c r="U317">
        <v>96.6</v>
      </c>
      <c r="V317" t="str" cm="1">
        <f t="array" ref="V31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17" t="s">
        <v>21</v>
      </c>
      <c r="X317">
        <v>0</v>
      </c>
      <c r="Y317">
        <v>0</v>
      </c>
      <c r="Z317" s="5">
        <f>IF(Merge1[[#This Row],[loan_applications.defaulted]]=0,Merge1[[#This Row],[loan_applications.loan_amount]]*(Merge1[[#This Row],[loan_applications.interest_rate]]/100)*(Merge1[[#This Row],[loan_applications.term_months]]/12),0)</f>
        <v>1242.22</v>
      </c>
      <c r="AA317" s="5">
        <f>IF(Merge1[[#This Row],[loan_applications.defaulted]]=1,Merge1[[#This Row],[loan_applications.loan_amount]],0)</f>
        <v>0</v>
      </c>
    </row>
    <row r="318" spans="1:27" x14ac:dyDescent="0.35">
      <c r="A318" t="s">
        <v>649</v>
      </c>
      <c r="B318" t="s">
        <v>650</v>
      </c>
      <c r="C318" s="1">
        <v>45671</v>
      </c>
      <c r="D318">
        <v>40</v>
      </c>
      <c r="E318" t="s">
        <v>383</v>
      </c>
      <c r="F318" t="s">
        <v>62</v>
      </c>
      <c r="G318" t="s">
        <v>26</v>
      </c>
      <c r="H318">
        <v>15</v>
      </c>
      <c r="I318" s="5">
        <v>127340</v>
      </c>
      <c r="J318" t="str" cm="1">
        <f t="array" ref="J31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8">
        <v>759</v>
      </c>
      <c r="L318" t="s">
        <v>27</v>
      </c>
      <c r="M318">
        <v>0</v>
      </c>
      <c r="N318">
        <v>4025</v>
      </c>
      <c r="O318" t="str" cm="1">
        <f t="array" ref="O31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18" t="s">
        <v>45</v>
      </c>
      <c r="Q318" s="5">
        <v>42300</v>
      </c>
      <c r="R318">
        <v>12</v>
      </c>
      <c r="S318">
        <v>7.97</v>
      </c>
      <c r="T318">
        <v>3679.02</v>
      </c>
      <c r="U318">
        <v>72.599999999999994</v>
      </c>
      <c r="V318" t="str" cm="1">
        <f t="array" ref="V31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18" t="s">
        <v>41</v>
      </c>
      <c r="X318">
        <v>0</v>
      </c>
      <c r="Y318">
        <v>0</v>
      </c>
      <c r="Z318" s="5">
        <f>IF(Merge1[[#This Row],[loan_applications.defaulted]]=0,Merge1[[#This Row],[loan_applications.loan_amount]]*(Merge1[[#This Row],[loan_applications.interest_rate]]/100)*(Merge1[[#This Row],[loan_applications.term_months]]/12),0)</f>
        <v>3371.3099999999995</v>
      </c>
      <c r="AA318" s="5">
        <f>IF(Merge1[[#This Row],[loan_applications.defaulted]]=1,Merge1[[#This Row],[loan_applications.loan_amount]],0)</f>
        <v>0</v>
      </c>
    </row>
    <row r="319" spans="1:27" x14ac:dyDescent="0.35">
      <c r="A319" t="s">
        <v>651</v>
      </c>
      <c r="B319" t="s">
        <v>650</v>
      </c>
      <c r="C319" s="1">
        <v>45602</v>
      </c>
      <c r="D319">
        <v>40</v>
      </c>
      <c r="E319" t="s">
        <v>383</v>
      </c>
      <c r="F319" t="s">
        <v>62</v>
      </c>
      <c r="G319" t="s">
        <v>26</v>
      </c>
      <c r="H319">
        <v>15</v>
      </c>
      <c r="I319" s="5">
        <v>127340</v>
      </c>
      <c r="J319" t="str" cm="1">
        <f t="array" ref="J31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19">
        <v>759</v>
      </c>
      <c r="L319" t="s">
        <v>27</v>
      </c>
      <c r="M319">
        <v>0</v>
      </c>
      <c r="N319">
        <v>4025</v>
      </c>
      <c r="O319" t="str" cm="1">
        <f t="array" ref="O31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19" t="s">
        <v>60</v>
      </c>
      <c r="Q319" s="5">
        <v>34700</v>
      </c>
      <c r="R319">
        <v>36</v>
      </c>
      <c r="S319">
        <v>8.31</v>
      </c>
      <c r="T319">
        <v>1092.3399999999999</v>
      </c>
      <c r="U319">
        <v>48.2</v>
      </c>
      <c r="V319" t="str" cm="1">
        <f t="array" ref="V31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19" t="s">
        <v>21</v>
      </c>
      <c r="X319">
        <v>0</v>
      </c>
      <c r="Y319">
        <v>0</v>
      </c>
      <c r="Z319" s="5">
        <f>IF(Merge1[[#This Row],[loan_applications.defaulted]]=0,Merge1[[#This Row],[loan_applications.loan_amount]]*(Merge1[[#This Row],[loan_applications.interest_rate]]/100)*(Merge1[[#This Row],[loan_applications.term_months]]/12),0)</f>
        <v>8650.7100000000009</v>
      </c>
      <c r="AA319" s="5">
        <f>IF(Merge1[[#This Row],[loan_applications.defaulted]]=1,Merge1[[#This Row],[loan_applications.loan_amount]],0)</f>
        <v>0</v>
      </c>
    </row>
    <row r="320" spans="1:27" x14ac:dyDescent="0.35">
      <c r="A320" t="s">
        <v>652</v>
      </c>
      <c r="B320" t="s">
        <v>653</v>
      </c>
      <c r="C320" s="1">
        <v>45492</v>
      </c>
      <c r="D320">
        <v>67</v>
      </c>
      <c r="E320" t="s">
        <v>109</v>
      </c>
      <c r="F320" t="s">
        <v>32</v>
      </c>
      <c r="G320" t="s">
        <v>26</v>
      </c>
      <c r="H320">
        <v>30</v>
      </c>
      <c r="I320" s="5">
        <v>69250</v>
      </c>
      <c r="J320" t="str" cm="1">
        <f t="array" ref="J32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20">
        <v>841</v>
      </c>
      <c r="L320" t="s">
        <v>34</v>
      </c>
      <c r="M320">
        <v>1</v>
      </c>
      <c r="N320">
        <v>2944</v>
      </c>
      <c r="O320" t="str" cm="1">
        <f t="array" ref="O32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0" t="s">
        <v>60</v>
      </c>
      <c r="Q320" s="5">
        <v>40100</v>
      </c>
      <c r="R320">
        <v>60</v>
      </c>
      <c r="S320">
        <v>7.03</v>
      </c>
      <c r="T320">
        <v>794.6</v>
      </c>
      <c r="U320">
        <v>64.8</v>
      </c>
      <c r="V320" t="str" cm="1">
        <f t="array" ref="V32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20" t="s">
        <v>41</v>
      </c>
      <c r="X320">
        <v>0</v>
      </c>
      <c r="Y320">
        <v>0</v>
      </c>
      <c r="Z320" s="5">
        <f>IF(Merge1[[#This Row],[loan_applications.defaulted]]=0,Merge1[[#This Row],[loan_applications.loan_amount]]*(Merge1[[#This Row],[loan_applications.interest_rate]]/100)*(Merge1[[#This Row],[loan_applications.term_months]]/12),0)</f>
        <v>14095.150000000001</v>
      </c>
      <c r="AA320" s="5">
        <f>IF(Merge1[[#This Row],[loan_applications.defaulted]]=1,Merge1[[#This Row],[loan_applications.loan_amount]],0)</f>
        <v>0</v>
      </c>
    </row>
    <row r="321" spans="1:27" x14ac:dyDescent="0.35">
      <c r="A321" t="s">
        <v>654</v>
      </c>
      <c r="B321" t="s">
        <v>653</v>
      </c>
      <c r="C321" s="1">
        <v>45471</v>
      </c>
      <c r="D321">
        <v>67</v>
      </c>
      <c r="E321" t="s">
        <v>109</v>
      </c>
      <c r="F321" t="s">
        <v>32</v>
      </c>
      <c r="G321" t="s">
        <v>26</v>
      </c>
      <c r="H321">
        <v>30</v>
      </c>
      <c r="I321" s="5">
        <v>69250</v>
      </c>
      <c r="J321" t="str" cm="1">
        <f t="array" ref="J32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21">
        <v>841</v>
      </c>
      <c r="L321" t="s">
        <v>34</v>
      </c>
      <c r="M321">
        <v>1</v>
      </c>
      <c r="N321">
        <v>2944</v>
      </c>
      <c r="O321" t="str" cm="1">
        <f t="array" ref="O32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1" t="s">
        <v>37</v>
      </c>
      <c r="Q321" s="5">
        <v>25700</v>
      </c>
      <c r="R321">
        <v>60</v>
      </c>
      <c r="S321">
        <v>6.95</v>
      </c>
      <c r="T321">
        <v>508.28</v>
      </c>
      <c r="U321">
        <v>59.8</v>
      </c>
      <c r="V321" t="str" cm="1">
        <f t="array" ref="V32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21" t="s">
        <v>24</v>
      </c>
      <c r="X321">
        <v>62</v>
      </c>
      <c r="Y321">
        <v>1</v>
      </c>
      <c r="Z32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21" s="5">
        <f>IF(Merge1[[#This Row],[loan_applications.defaulted]]=1,Merge1[[#This Row],[loan_applications.loan_amount]],0)</f>
        <v>25700</v>
      </c>
    </row>
    <row r="322" spans="1:27" x14ac:dyDescent="0.35">
      <c r="A322" t="s">
        <v>655</v>
      </c>
      <c r="B322" t="s">
        <v>656</v>
      </c>
      <c r="C322" s="1">
        <v>45572</v>
      </c>
      <c r="D322">
        <v>66</v>
      </c>
      <c r="E322" t="s">
        <v>51</v>
      </c>
      <c r="F322" t="s">
        <v>32</v>
      </c>
      <c r="G322" t="s">
        <v>26</v>
      </c>
      <c r="H322">
        <v>5</v>
      </c>
      <c r="I322" s="5">
        <v>102385</v>
      </c>
      <c r="J322" t="str" cm="1">
        <f t="array" ref="J32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22">
        <v>819</v>
      </c>
      <c r="L322" t="s">
        <v>27</v>
      </c>
      <c r="M322">
        <v>2</v>
      </c>
      <c r="N322">
        <v>1941</v>
      </c>
      <c r="O322" t="str" cm="1">
        <f t="array" ref="O32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2" t="s">
        <v>50</v>
      </c>
      <c r="Q322" s="5">
        <v>29400</v>
      </c>
      <c r="R322">
        <v>24</v>
      </c>
      <c r="S322">
        <v>10.76</v>
      </c>
      <c r="T322">
        <v>1367</v>
      </c>
      <c r="U322">
        <v>38.799999999999997</v>
      </c>
      <c r="V322" t="str" cm="1">
        <f t="array" ref="V32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22" t="s">
        <v>21</v>
      </c>
      <c r="X322">
        <v>0</v>
      </c>
      <c r="Y322">
        <v>0</v>
      </c>
      <c r="Z322" s="5">
        <f>IF(Merge1[[#This Row],[loan_applications.defaulted]]=0,Merge1[[#This Row],[loan_applications.loan_amount]]*(Merge1[[#This Row],[loan_applications.interest_rate]]/100)*(Merge1[[#This Row],[loan_applications.term_months]]/12),0)</f>
        <v>6326.88</v>
      </c>
      <c r="AA322" s="5">
        <f>IF(Merge1[[#This Row],[loan_applications.defaulted]]=1,Merge1[[#This Row],[loan_applications.loan_amount]],0)</f>
        <v>0</v>
      </c>
    </row>
    <row r="323" spans="1:27" x14ac:dyDescent="0.35">
      <c r="A323" t="s">
        <v>657</v>
      </c>
      <c r="B323" t="s">
        <v>658</v>
      </c>
      <c r="C323" s="1">
        <v>45729</v>
      </c>
      <c r="D323">
        <v>63</v>
      </c>
      <c r="E323" t="s">
        <v>92</v>
      </c>
      <c r="F323" t="s">
        <v>32</v>
      </c>
      <c r="G323" t="s">
        <v>63</v>
      </c>
      <c r="H323">
        <v>21</v>
      </c>
      <c r="I323" s="5">
        <v>44963</v>
      </c>
      <c r="J323" t="str" cm="1">
        <f t="array" ref="J32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23">
        <v>734</v>
      </c>
      <c r="L323" t="s">
        <v>17</v>
      </c>
      <c r="M323">
        <v>0</v>
      </c>
      <c r="N323">
        <v>372</v>
      </c>
      <c r="O323" t="str" cm="1">
        <f t="array" ref="O32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23" t="s">
        <v>30</v>
      </c>
      <c r="Q323" s="5">
        <v>32400</v>
      </c>
      <c r="R323">
        <v>48</v>
      </c>
      <c r="S323">
        <v>7.78</v>
      </c>
      <c r="T323">
        <v>787.64</v>
      </c>
      <c r="U323">
        <v>30.9</v>
      </c>
      <c r="V323" t="str" cm="1">
        <f t="array" ref="V32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23" t="s">
        <v>91</v>
      </c>
      <c r="X323">
        <v>15</v>
      </c>
      <c r="Y323">
        <v>0</v>
      </c>
      <c r="Z323" s="5">
        <f>IF(Merge1[[#This Row],[loan_applications.defaulted]]=0,Merge1[[#This Row],[loan_applications.loan_amount]]*(Merge1[[#This Row],[loan_applications.interest_rate]]/100)*(Merge1[[#This Row],[loan_applications.term_months]]/12),0)</f>
        <v>10082.880000000001</v>
      </c>
      <c r="AA323" s="5">
        <f>IF(Merge1[[#This Row],[loan_applications.defaulted]]=1,Merge1[[#This Row],[loan_applications.loan_amount]],0)</f>
        <v>0</v>
      </c>
    </row>
    <row r="324" spans="1:27" x14ac:dyDescent="0.35">
      <c r="A324" t="s">
        <v>659</v>
      </c>
      <c r="B324" t="s">
        <v>660</v>
      </c>
      <c r="C324" s="1">
        <v>45769</v>
      </c>
      <c r="D324">
        <v>36</v>
      </c>
      <c r="E324" t="s">
        <v>67</v>
      </c>
      <c r="F324" t="s">
        <v>32</v>
      </c>
      <c r="G324" t="s">
        <v>26</v>
      </c>
      <c r="H324">
        <v>7</v>
      </c>
      <c r="I324" s="5">
        <v>77637</v>
      </c>
      <c r="J324" t="str" cm="1">
        <f t="array" ref="J32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24">
        <v>829</v>
      </c>
      <c r="L324" t="s">
        <v>34</v>
      </c>
      <c r="M324">
        <v>1</v>
      </c>
      <c r="N324">
        <v>2521</v>
      </c>
      <c r="O324" t="str" cm="1">
        <f t="array" ref="O32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4" t="s">
        <v>23</v>
      </c>
      <c r="Q324" s="5">
        <v>21500</v>
      </c>
      <c r="R324">
        <v>12</v>
      </c>
      <c r="S324">
        <v>9.58</v>
      </c>
      <c r="T324">
        <v>1885.99</v>
      </c>
      <c r="U324">
        <v>68.099999999999994</v>
      </c>
      <c r="V324" t="str" cm="1">
        <f t="array" ref="V32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24" t="s">
        <v>41</v>
      </c>
      <c r="X324">
        <v>0</v>
      </c>
      <c r="Y324">
        <v>0</v>
      </c>
      <c r="Z324" s="5">
        <f>IF(Merge1[[#This Row],[loan_applications.defaulted]]=0,Merge1[[#This Row],[loan_applications.loan_amount]]*(Merge1[[#This Row],[loan_applications.interest_rate]]/100)*(Merge1[[#This Row],[loan_applications.term_months]]/12),0)</f>
        <v>2059.6999999999998</v>
      </c>
      <c r="AA324" s="5">
        <f>IF(Merge1[[#This Row],[loan_applications.defaulted]]=1,Merge1[[#This Row],[loan_applications.loan_amount]],0)</f>
        <v>0</v>
      </c>
    </row>
    <row r="325" spans="1:27" x14ac:dyDescent="0.35">
      <c r="A325" t="s">
        <v>661</v>
      </c>
      <c r="B325" t="s">
        <v>660</v>
      </c>
      <c r="C325" s="1">
        <v>45297</v>
      </c>
      <c r="D325">
        <v>36</v>
      </c>
      <c r="E325" t="s">
        <v>67</v>
      </c>
      <c r="F325" t="s">
        <v>32</v>
      </c>
      <c r="G325" t="s">
        <v>26</v>
      </c>
      <c r="H325">
        <v>7</v>
      </c>
      <c r="I325" s="5">
        <v>77637</v>
      </c>
      <c r="J325" t="str" cm="1">
        <f t="array" ref="J32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25">
        <v>829</v>
      </c>
      <c r="L325" t="s">
        <v>34</v>
      </c>
      <c r="M325">
        <v>1</v>
      </c>
      <c r="N325">
        <v>2521</v>
      </c>
      <c r="O325" t="str" cm="1">
        <f t="array" ref="O32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5" t="s">
        <v>56</v>
      </c>
      <c r="Q325" s="5">
        <v>25600</v>
      </c>
      <c r="R325">
        <v>60</v>
      </c>
      <c r="S325">
        <v>8.43</v>
      </c>
      <c r="T325">
        <v>524.36</v>
      </c>
      <c r="U325">
        <v>47.1</v>
      </c>
      <c r="V325" t="str" cm="1">
        <f t="array" ref="V32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25" t="s">
        <v>21</v>
      </c>
      <c r="X325">
        <v>0</v>
      </c>
      <c r="Y325">
        <v>0</v>
      </c>
      <c r="Z325" s="5">
        <f>IF(Merge1[[#This Row],[loan_applications.defaulted]]=0,Merge1[[#This Row],[loan_applications.loan_amount]]*(Merge1[[#This Row],[loan_applications.interest_rate]]/100)*(Merge1[[#This Row],[loan_applications.term_months]]/12),0)</f>
        <v>10790.4</v>
      </c>
      <c r="AA325" s="5">
        <f>IF(Merge1[[#This Row],[loan_applications.defaulted]]=1,Merge1[[#This Row],[loan_applications.loan_amount]],0)</f>
        <v>0</v>
      </c>
    </row>
    <row r="326" spans="1:27" x14ac:dyDescent="0.35">
      <c r="A326" t="s">
        <v>662</v>
      </c>
      <c r="B326" t="s">
        <v>663</v>
      </c>
      <c r="C326" s="1">
        <v>45493</v>
      </c>
      <c r="D326">
        <v>66</v>
      </c>
      <c r="E326" t="s">
        <v>42</v>
      </c>
      <c r="F326" t="s">
        <v>32</v>
      </c>
      <c r="G326" t="s">
        <v>26</v>
      </c>
      <c r="H326">
        <v>18</v>
      </c>
      <c r="I326" s="5">
        <v>42167</v>
      </c>
      <c r="J326" t="str" cm="1">
        <f t="array" ref="J32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26">
        <v>583</v>
      </c>
      <c r="L326" t="s">
        <v>34</v>
      </c>
      <c r="M326">
        <v>0</v>
      </c>
      <c r="N326">
        <v>1828</v>
      </c>
      <c r="O326" t="str" cm="1">
        <f t="array" ref="O32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26" t="s">
        <v>56</v>
      </c>
      <c r="Q326" s="5">
        <v>22300</v>
      </c>
      <c r="R326">
        <v>12</v>
      </c>
      <c r="S326">
        <v>14.87</v>
      </c>
      <c r="T326">
        <v>2011.39</v>
      </c>
      <c r="U326">
        <v>109.3</v>
      </c>
      <c r="V326" t="str" cm="1">
        <f t="array" ref="V32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26" t="s">
        <v>24</v>
      </c>
      <c r="X326">
        <v>109</v>
      </c>
      <c r="Y326">
        <v>1</v>
      </c>
      <c r="Z32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26" s="5">
        <f>IF(Merge1[[#This Row],[loan_applications.defaulted]]=1,Merge1[[#This Row],[loan_applications.loan_amount]],0)</f>
        <v>22300</v>
      </c>
    </row>
    <row r="327" spans="1:27" x14ac:dyDescent="0.35">
      <c r="A327" t="s">
        <v>664</v>
      </c>
      <c r="B327" t="s">
        <v>663</v>
      </c>
      <c r="C327" s="1">
        <v>45316</v>
      </c>
      <c r="D327">
        <v>66</v>
      </c>
      <c r="E327" t="s">
        <v>42</v>
      </c>
      <c r="F327" t="s">
        <v>32</v>
      </c>
      <c r="G327" t="s">
        <v>26</v>
      </c>
      <c r="H327">
        <v>18</v>
      </c>
      <c r="I327" s="5">
        <v>42167</v>
      </c>
      <c r="J327" t="str" cm="1">
        <f t="array" ref="J32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27">
        <v>583</v>
      </c>
      <c r="L327" t="s">
        <v>34</v>
      </c>
      <c r="M327">
        <v>0</v>
      </c>
      <c r="N327">
        <v>1828</v>
      </c>
      <c r="O327" t="str" cm="1">
        <f t="array" ref="O32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27" t="s">
        <v>54</v>
      </c>
      <c r="Q327" s="5">
        <v>6100</v>
      </c>
      <c r="R327">
        <v>48</v>
      </c>
      <c r="S327">
        <v>12.44</v>
      </c>
      <c r="T327">
        <v>161.96</v>
      </c>
      <c r="U327">
        <v>56.6</v>
      </c>
      <c r="V327" t="str" cm="1">
        <f t="array" ref="V32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27" t="s">
        <v>41</v>
      </c>
      <c r="X327">
        <v>0</v>
      </c>
      <c r="Y327">
        <v>0</v>
      </c>
      <c r="Z327" s="5">
        <f>IF(Merge1[[#This Row],[loan_applications.defaulted]]=0,Merge1[[#This Row],[loan_applications.loan_amount]]*(Merge1[[#This Row],[loan_applications.interest_rate]]/100)*(Merge1[[#This Row],[loan_applications.term_months]]/12),0)</f>
        <v>3035.36</v>
      </c>
      <c r="AA327" s="5">
        <f>IF(Merge1[[#This Row],[loan_applications.defaulted]]=1,Merge1[[#This Row],[loan_applications.loan_amount]],0)</f>
        <v>0</v>
      </c>
    </row>
    <row r="328" spans="1:27" x14ac:dyDescent="0.35">
      <c r="A328" t="s">
        <v>665</v>
      </c>
      <c r="B328" t="s">
        <v>666</v>
      </c>
      <c r="C328" s="1">
        <v>45824</v>
      </c>
      <c r="D328">
        <v>31</v>
      </c>
      <c r="E328" t="s">
        <v>74</v>
      </c>
      <c r="F328" t="s">
        <v>68</v>
      </c>
      <c r="G328" t="s">
        <v>26</v>
      </c>
      <c r="H328">
        <v>7</v>
      </c>
      <c r="I328" s="5">
        <v>65633</v>
      </c>
      <c r="J328" t="str" cm="1">
        <f t="array" ref="J32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28">
        <v>801</v>
      </c>
      <c r="L328" t="s">
        <v>34</v>
      </c>
      <c r="M328">
        <v>1</v>
      </c>
      <c r="N328">
        <v>2178</v>
      </c>
      <c r="O328" t="str" cm="1">
        <f t="array" ref="O32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28" t="s">
        <v>54</v>
      </c>
      <c r="Q328" s="5">
        <v>48000</v>
      </c>
      <c r="R328">
        <v>12</v>
      </c>
      <c r="S328">
        <v>10.76</v>
      </c>
      <c r="T328">
        <v>4236.95</v>
      </c>
      <c r="U328">
        <v>117.3</v>
      </c>
      <c r="V328" t="str" cm="1">
        <f t="array" ref="V32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28" t="s">
        <v>91</v>
      </c>
      <c r="X328">
        <v>15</v>
      </c>
      <c r="Y328">
        <v>0</v>
      </c>
      <c r="Z328" s="5">
        <f>IF(Merge1[[#This Row],[loan_applications.defaulted]]=0,Merge1[[#This Row],[loan_applications.loan_amount]]*(Merge1[[#This Row],[loan_applications.interest_rate]]/100)*(Merge1[[#This Row],[loan_applications.term_months]]/12),0)</f>
        <v>5164.8</v>
      </c>
      <c r="AA328" s="5">
        <f>IF(Merge1[[#This Row],[loan_applications.defaulted]]=1,Merge1[[#This Row],[loan_applications.loan_amount]],0)</f>
        <v>0</v>
      </c>
    </row>
    <row r="329" spans="1:27" x14ac:dyDescent="0.35">
      <c r="A329" t="s">
        <v>667</v>
      </c>
      <c r="B329" t="s">
        <v>668</v>
      </c>
      <c r="C329" s="1">
        <v>45326</v>
      </c>
      <c r="D329">
        <v>42</v>
      </c>
      <c r="E329" t="s">
        <v>125</v>
      </c>
      <c r="F329" t="s">
        <v>15</v>
      </c>
      <c r="G329" t="s">
        <v>26</v>
      </c>
      <c r="H329">
        <v>10</v>
      </c>
      <c r="I329" s="5">
        <v>47419</v>
      </c>
      <c r="J329" t="str" cm="1">
        <f t="array" ref="J32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29">
        <v>541</v>
      </c>
      <c r="L329" t="s">
        <v>34</v>
      </c>
      <c r="M329">
        <v>3</v>
      </c>
      <c r="N329">
        <v>2034</v>
      </c>
      <c r="O329" t="str" cm="1">
        <f t="array" ref="O32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29" t="s">
        <v>54</v>
      </c>
      <c r="Q329" s="5">
        <v>29700</v>
      </c>
      <c r="R329">
        <v>12</v>
      </c>
      <c r="S329">
        <v>15.86</v>
      </c>
      <c r="T329">
        <v>2692.74</v>
      </c>
      <c r="U329">
        <v>119.6</v>
      </c>
      <c r="V329" t="str" cm="1">
        <f t="array" ref="V32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29" t="s">
        <v>24</v>
      </c>
      <c r="X329">
        <v>46</v>
      </c>
      <c r="Y329">
        <v>1</v>
      </c>
      <c r="Z32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29" s="5">
        <f>IF(Merge1[[#This Row],[loan_applications.defaulted]]=1,Merge1[[#This Row],[loan_applications.loan_amount]],0)</f>
        <v>29700</v>
      </c>
    </row>
    <row r="330" spans="1:27" x14ac:dyDescent="0.35">
      <c r="A330" t="s">
        <v>669</v>
      </c>
      <c r="B330" t="s">
        <v>670</v>
      </c>
      <c r="C330" s="1">
        <v>45734</v>
      </c>
      <c r="D330">
        <v>37</v>
      </c>
      <c r="E330" t="s">
        <v>67</v>
      </c>
      <c r="F330" t="s">
        <v>32</v>
      </c>
      <c r="G330" t="s">
        <v>63</v>
      </c>
      <c r="H330">
        <v>14</v>
      </c>
      <c r="I330" s="5">
        <v>33944</v>
      </c>
      <c r="J330" t="str" cm="1">
        <f t="array" ref="J33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30">
        <v>743</v>
      </c>
      <c r="L330" t="s">
        <v>27</v>
      </c>
      <c r="M330">
        <v>2</v>
      </c>
      <c r="N330">
        <v>405</v>
      </c>
      <c r="O330" t="str" cm="1">
        <f t="array" ref="O33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30" t="s">
        <v>60</v>
      </c>
      <c r="Q330" s="5">
        <v>22200</v>
      </c>
      <c r="R330">
        <v>36</v>
      </c>
      <c r="S330">
        <v>10.67</v>
      </c>
      <c r="T330">
        <v>723.34</v>
      </c>
      <c r="U330">
        <v>39.9</v>
      </c>
      <c r="V330" t="str" cm="1">
        <f t="array" ref="V33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30" t="s">
        <v>24</v>
      </c>
      <c r="X330">
        <v>44</v>
      </c>
      <c r="Y330">
        <v>1</v>
      </c>
      <c r="Z33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30" s="5">
        <f>IF(Merge1[[#This Row],[loan_applications.defaulted]]=1,Merge1[[#This Row],[loan_applications.loan_amount]],0)</f>
        <v>22200</v>
      </c>
    </row>
    <row r="331" spans="1:27" x14ac:dyDescent="0.35">
      <c r="A331" t="s">
        <v>671</v>
      </c>
      <c r="B331" t="s">
        <v>672</v>
      </c>
      <c r="C331" s="1">
        <v>45530</v>
      </c>
      <c r="D331">
        <v>64</v>
      </c>
      <c r="E331" t="s">
        <v>67</v>
      </c>
      <c r="F331" t="s">
        <v>32</v>
      </c>
      <c r="G331" t="s">
        <v>26</v>
      </c>
      <c r="H331">
        <v>28</v>
      </c>
      <c r="I331" s="5">
        <v>79780</v>
      </c>
      <c r="J331" t="str" cm="1">
        <f t="array" ref="J33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31">
        <v>636</v>
      </c>
      <c r="L331" t="s">
        <v>34</v>
      </c>
      <c r="M331">
        <v>0</v>
      </c>
      <c r="N331">
        <v>1046</v>
      </c>
      <c r="O331" t="str" cm="1">
        <f t="array" ref="O33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31" t="s">
        <v>37</v>
      </c>
      <c r="Q331" s="5">
        <v>21300</v>
      </c>
      <c r="R331">
        <v>60</v>
      </c>
      <c r="S331">
        <v>13.16</v>
      </c>
      <c r="T331">
        <v>486.39</v>
      </c>
      <c r="U331">
        <v>23</v>
      </c>
      <c r="V331" t="str" cm="1">
        <f t="array" ref="V33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31" t="s">
        <v>91</v>
      </c>
      <c r="X331">
        <v>0</v>
      </c>
      <c r="Y331">
        <v>0</v>
      </c>
      <c r="Z331" s="5">
        <f>IF(Merge1[[#This Row],[loan_applications.defaulted]]=0,Merge1[[#This Row],[loan_applications.loan_amount]]*(Merge1[[#This Row],[loan_applications.interest_rate]]/100)*(Merge1[[#This Row],[loan_applications.term_months]]/12),0)</f>
        <v>14015.4</v>
      </c>
      <c r="AA331" s="5">
        <f>IF(Merge1[[#This Row],[loan_applications.defaulted]]=1,Merge1[[#This Row],[loan_applications.loan_amount]],0)</f>
        <v>0</v>
      </c>
    </row>
    <row r="332" spans="1:27" x14ac:dyDescent="0.35">
      <c r="A332" t="s">
        <v>673</v>
      </c>
      <c r="B332" t="s">
        <v>674</v>
      </c>
      <c r="C332" s="1">
        <v>45318</v>
      </c>
      <c r="D332">
        <v>39</v>
      </c>
      <c r="E332" t="s">
        <v>118</v>
      </c>
      <c r="F332" t="s">
        <v>62</v>
      </c>
      <c r="G332" t="s">
        <v>33</v>
      </c>
      <c r="H332">
        <v>17</v>
      </c>
      <c r="I332" s="5">
        <v>59967</v>
      </c>
      <c r="J332" t="str" cm="1">
        <f t="array" ref="J33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32">
        <v>582</v>
      </c>
      <c r="L332" t="s">
        <v>27</v>
      </c>
      <c r="M332">
        <v>0</v>
      </c>
      <c r="N332">
        <v>534</v>
      </c>
      <c r="O332" t="str" cm="1">
        <f t="array" ref="O33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32" t="s">
        <v>20</v>
      </c>
      <c r="Q332" s="5">
        <v>44200</v>
      </c>
      <c r="R332">
        <v>60</v>
      </c>
      <c r="S332">
        <v>10.81</v>
      </c>
      <c r="T332">
        <v>956.83</v>
      </c>
      <c r="U332">
        <v>29.8</v>
      </c>
      <c r="V332" t="str" cm="1">
        <f t="array" ref="V33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32" t="s">
        <v>41</v>
      </c>
      <c r="X332">
        <v>0</v>
      </c>
      <c r="Y332">
        <v>0</v>
      </c>
      <c r="Z332" s="5">
        <f>IF(Merge1[[#This Row],[loan_applications.defaulted]]=0,Merge1[[#This Row],[loan_applications.loan_amount]]*(Merge1[[#This Row],[loan_applications.interest_rate]]/100)*(Merge1[[#This Row],[loan_applications.term_months]]/12),0)</f>
        <v>23890.100000000002</v>
      </c>
      <c r="AA332" s="5">
        <f>IF(Merge1[[#This Row],[loan_applications.defaulted]]=1,Merge1[[#This Row],[loan_applications.loan_amount]],0)</f>
        <v>0</v>
      </c>
    </row>
    <row r="333" spans="1:27" x14ac:dyDescent="0.35">
      <c r="A333" t="s">
        <v>675</v>
      </c>
      <c r="B333" t="s">
        <v>676</v>
      </c>
      <c r="C333" s="1">
        <v>45421</v>
      </c>
      <c r="D333">
        <v>64</v>
      </c>
      <c r="E333" t="s">
        <v>157</v>
      </c>
      <c r="F333" t="s">
        <v>62</v>
      </c>
      <c r="G333" t="s">
        <v>26</v>
      </c>
      <c r="H333">
        <v>24</v>
      </c>
      <c r="I333" s="5">
        <v>109435</v>
      </c>
      <c r="J333" t="str" cm="1">
        <f t="array" ref="J33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33">
        <v>850</v>
      </c>
      <c r="L333" t="s">
        <v>34</v>
      </c>
      <c r="M333">
        <v>0</v>
      </c>
      <c r="N333">
        <v>2060</v>
      </c>
      <c r="O333" t="str" cm="1">
        <f t="array" ref="O33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33" t="s">
        <v>71</v>
      </c>
      <c r="Q333" s="5">
        <v>30500</v>
      </c>
      <c r="R333">
        <v>24</v>
      </c>
      <c r="S333">
        <v>10.36</v>
      </c>
      <c r="T333">
        <v>1412.49</v>
      </c>
      <c r="U333">
        <v>38.1</v>
      </c>
      <c r="V333" t="str" cm="1">
        <f t="array" ref="V33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33" t="s">
        <v>41</v>
      </c>
      <c r="X333">
        <v>0</v>
      </c>
      <c r="Y333">
        <v>0</v>
      </c>
      <c r="Z333" s="5">
        <f>IF(Merge1[[#This Row],[loan_applications.defaulted]]=0,Merge1[[#This Row],[loan_applications.loan_amount]]*(Merge1[[#This Row],[loan_applications.interest_rate]]/100)*(Merge1[[#This Row],[loan_applications.term_months]]/12),0)</f>
        <v>6319.5999999999995</v>
      </c>
      <c r="AA333" s="5">
        <f>IF(Merge1[[#This Row],[loan_applications.defaulted]]=1,Merge1[[#This Row],[loan_applications.loan_amount]],0)</f>
        <v>0</v>
      </c>
    </row>
    <row r="334" spans="1:27" x14ac:dyDescent="0.35">
      <c r="A334" t="s">
        <v>677</v>
      </c>
      <c r="B334" t="s">
        <v>678</v>
      </c>
      <c r="C334" s="1">
        <v>45611</v>
      </c>
      <c r="D334">
        <v>51</v>
      </c>
      <c r="E334" t="s">
        <v>118</v>
      </c>
      <c r="F334" t="s">
        <v>32</v>
      </c>
      <c r="G334" t="s">
        <v>33</v>
      </c>
      <c r="H334">
        <v>5</v>
      </c>
      <c r="I334" s="5">
        <v>85642</v>
      </c>
      <c r="J334" t="str" cm="1">
        <f t="array" ref="J33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34">
        <v>692</v>
      </c>
      <c r="L334" t="s">
        <v>17</v>
      </c>
      <c r="M334">
        <v>0</v>
      </c>
      <c r="N334">
        <v>1446</v>
      </c>
      <c r="O334" t="str" cm="1">
        <f t="array" ref="O33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34" t="s">
        <v>20</v>
      </c>
      <c r="Q334" s="5">
        <v>7900</v>
      </c>
      <c r="R334">
        <v>12</v>
      </c>
      <c r="S334">
        <v>8.77</v>
      </c>
      <c r="T334">
        <v>690.02</v>
      </c>
      <c r="U334">
        <v>29.9</v>
      </c>
      <c r="V334" t="str" cm="1">
        <f t="array" ref="V33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34" t="s">
        <v>91</v>
      </c>
      <c r="X334">
        <v>0</v>
      </c>
      <c r="Y334">
        <v>0</v>
      </c>
      <c r="Z334" s="5">
        <f>IF(Merge1[[#This Row],[loan_applications.defaulted]]=0,Merge1[[#This Row],[loan_applications.loan_amount]]*(Merge1[[#This Row],[loan_applications.interest_rate]]/100)*(Merge1[[#This Row],[loan_applications.term_months]]/12),0)</f>
        <v>692.83</v>
      </c>
      <c r="AA334" s="5">
        <f>IF(Merge1[[#This Row],[loan_applications.defaulted]]=1,Merge1[[#This Row],[loan_applications.loan_amount]],0)</f>
        <v>0</v>
      </c>
    </row>
    <row r="335" spans="1:27" x14ac:dyDescent="0.35">
      <c r="A335" t="s">
        <v>679</v>
      </c>
      <c r="B335" t="s">
        <v>680</v>
      </c>
      <c r="C335" s="1">
        <v>45643</v>
      </c>
      <c r="D335">
        <v>33</v>
      </c>
      <c r="E335" t="s">
        <v>92</v>
      </c>
      <c r="F335" t="s">
        <v>32</v>
      </c>
      <c r="G335" t="s">
        <v>26</v>
      </c>
      <c r="H335">
        <v>2</v>
      </c>
      <c r="I335" s="5">
        <v>65383</v>
      </c>
      <c r="J335" t="str" cm="1">
        <f t="array" ref="J33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35">
        <v>840</v>
      </c>
      <c r="L335" t="s">
        <v>34</v>
      </c>
      <c r="M335">
        <v>0</v>
      </c>
      <c r="N335">
        <v>2003</v>
      </c>
      <c r="O335" t="str" cm="1">
        <f t="array" ref="O33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35" t="s">
        <v>71</v>
      </c>
      <c r="Q335" s="5">
        <v>39200</v>
      </c>
      <c r="R335">
        <v>24</v>
      </c>
      <c r="S335">
        <v>8.35</v>
      </c>
      <c r="T335">
        <v>1779.17</v>
      </c>
      <c r="U335">
        <v>69.400000000000006</v>
      </c>
      <c r="V335" t="str" cm="1">
        <f t="array" ref="V33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35" t="s">
        <v>91</v>
      </c>
      <c r="X335">
        <v>30</v>
      </c>
      <c r="Y335">
        <v>0</v>
      </c>
      <c r="Z335" s="5">
        <f>IF(Merge1[[#This Row],[loan_applications.defaulted]]=0,Merge1[[#This Row],[loan_applications.loan_amount]]*(Merge1[[#This Row],[loan_applications.interest_rate]]/100)*(Merge1[[#This Row],[loan_applications.term_months]]/12),0)</f>
        <v>6546.4</v>
      </c>
      <c r="AA335" s="5">
        <f>IF(Merge1[[#This Row],[loan_applications.defaulted]]=1,Merge1[[#This Row],[loan_applications.loan_amount]],0)</f>
        <v>0</v>
      </c>
    </row>
    <row r="336" spans="1:27" x14ac:dyDescent="0.35">
      <c r="A336" t="s">
        <v>681</v>
      </c>
      <c r="B336" t="s">
        <v>682</v>
      </c>
      <c r="C336" s="1">
        <v>45724</v>
      </c>
      <c r="D336">
        <v>66</v>
      </c>
      <c r="E336" t="s">
        <v>203</v>
      </c>
      <c r="F336" t="s">
        <v>62</v>
      </c>
      <c r="G336" t="s">
        <v>75</v>
      </c>
      <c r="H336">
        <v>31</v>
      </c>
      <c r="I336" s="5">
        <v>41677</v>
      </c>
      <c r="J336" t="str" cm="1">
        <f t="array" ref="J33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36">
        <v>615</v>
      </c>
      <c r="L336" t="s">
        <v>34</v>
      </c>
      <c r="M336">
        <v>1</v>
      </c>
      <c r="N336">
        <v>956</v>
      </c>
      <c r="O336" t="str" cm="1">
        <f t="array" ref="O33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36" t="s">
        <v>50</v>
      </c>
      <c r="Q336" s="5">
        <v>8800</v>
      </c>
      <c r="R336">
        <v>60</v>
      </c>
      <c r="S336">
        <v>14.04</v>
      </c>
      <c r="T336">
        <v>204.94</v>
      </c>
      <c r="U336">
        <v>33.4</v>
      </c>
      <c r="V336" t="str" cm="1">
        <f t="array" ref="V33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36" t="s">
        <v>91</v>
      </c>
      <c r="X336">
        <v>30</v>
      </c>
      <c r="Y336">
        <v>0</v>
      </c>
      <c r="Z336" s="5">
        <f>IF(Merge1[[#This Row],[loan_applications.defaulted]]=0,Merge1[[#This Row],[loan_applications.loan_amount]]*(Merge1[[#This Row],[loan_applications.interest_rate]]/100)*(Merge1[[#This Row],[loan_applications.term_months]]/12),0)</f>
        <v>6177.6</v>
      </c>
      <c r="AA336" s="5">
        <f>IF(Merge1[[#This Row],[loan_applications.defaulted]]=1,Merge1[[#This Row],[loan_applications.loan_amount]],0)</f>
        <v>0</v>
      </c>
    </row>
    <row r="337" spans="1:27" x14ac:dyDescent="0.35">
      <c r="A337" t="s">
        <v>683</v>
      </c>
      <c r="B337" t="s">
        <v>684</v>
      </c>
      <c r="C337" s="1">
        <v>45631</v>
      </c>
      <c r="D337">
        <v>25</v>
      </c>
      <c r="E337" t="s">
        <v>83</v>
      </c>
      <c r="F337" t="s">
        <v>62</v>
      </c>
      <c r="G337" t="s">
        <v>75</v>
      </c>
      <c r="H337">
        <v>3</v>
      </c>
      <c r="I337" s="5">
        <v>57707</v>
      </c>
      <c r="J337" t="str" cm="1">
        <f t="array" ref="J33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37">
        <v>629</v>
      </c>
      <c r="L337" t="s">
        <v>17</v>
      </c>
      <c r="M337">
        <v>2</v>
      </c>
      <c r="N337">
        <v>1224</v>
      </c>
      <c r="O337" t="str" cm="1">
        <f t="array" ref="O33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37" t="s">
        <v>54</v>
      </c>
      <c r="Q337" s="5">
        <v>28000</v>
      </c>
      <c r="R337">
        <v>48</v>
      </c>
      <c r="S337">
        <v>12.52</v>
      </c>
      <c r="T337">
        <v>744.52</v>
      </c>
      <c r="U337">
        <v>40.9</v>
      </c>
      <c r="V337" t="str" cm="1">
        <f t="array" ref="V33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37" t="s">
        <v>41</v>
      </c>
      <c r="X337">
        <v>0</v>
      </c>
      <c r="Y337">
        <v>0</v>
      </c>
      <c r="Z337" s="5">
        <f>IF(Merge1[[#This Row],[loan_applications.defaulted]]=0,Merge1[[#This Row],[loan_applications.loan_amount]]*(Merge1[[#This Row],[loan_applications.interest_rate]]/100)*(Merge1[[#This Row],[loan_applications.term_months]]/12),0)</f>
        <v>14022.400000000001</v>
      </c>
      <c r="AA337" s="5">
        <f>IF(Merge1[[#This Row],[loan_applications.defaulted]]=1,Merge1[[#This Row],[loan_applications.loan_amount]],0)</f>
        <v>0</v>
      </c>
    </row>
    <row r="338" spans="1:27" x14ac:dyDescent="0.35">
      <c r="A338" t="s">
        <v>685</v>
      </c>
      <c r="B338" t="s">
        <v>686</v>
      </c>
      <c r="C338" s="1">
        <v>45295</v>
      </c>
      <c r="D338">
        <v>53</v>
      </c>
      <c r="E338" t="s">
        <v>51</v>
      </c>
      <c r="F338" t="s">
        <v>32</v>
      </c>
      <c r="G338" t="s">
        <v>33</v>
      </c>
      <c r="H338">
        <v>1</v>
      </c>
      <c r="I338" s="5">
        <v>71779</v>
      </c>
      <c r="J338" t="str" cm="1">
        <f t="array" ref="J33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38">
        <v>577</v>
      </c>
      <c r="L338" t="s">
        <v>17</v>
      </c>
      <c r="M338">
        <v>0</v>
      </c>
      <c r="N338">
        <v>1121</v>
      </c>
      <c r="O338" t="str" cm="1">
        <f t="array" ref="O33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38" t="s">
        <v>45</v>
      </c>
      <c r="Q338" s="5">
        <v>17200</v>
      </c>
      <c r="R338">
        <v>12</v>
      </c>
      <c r="S338">
        <v>12.86</v>
      </c>
      <c r="T338">
        <v>1535.13</v>
      </c>
      <c r="U338">
        <v>44.4</v>
      </c>
      <c r="V338" t="str" cm="1">
        <f t="array" ref="V33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38" t="s">
        <v>41</v>
      </c>
      <c r="X338">
        <v>0</v>
      </c>
      <c r="Y338">
        <v>0</v>
      </c>
      <c r="Z338" s="5">
        <f>IF(Merge1[[#This Row],[loan_applications.defaulted]]=0,Merge1[[#This Row],[loan_applications.loan_amount]]*(Merge1[[#This Row],[loan_applications.interest_rate]]/100)*(Merge1[[#This Row],[loan_applications.term_months]]/12),0)</f>
        <v>2211.92</v>
      </c>
      <c r="AA338" s="5">
        <f>IF(Merge1[[#This Row],[loan_applications.defaulted]]=1,Merge1[[#This Row],[loan_applications.loan_amount]],0)</f>
        <v>0</v>
      </c>
    </row>
    <row r="339" spans="1:27" x14ac:dyDescent="0.35">
      <c r="A339" t="s">
        <v>687</v>
      </c>
      <c r="B339" t="s">
        <v>688</v>
      </c>
      <c r="C339" s="1">
        <v>45676</v>
      </c>
      <c r="D339">
        <v>56</v>
      </c>
      <c r="E339" t="s">
        <v>157</v>
      </c>
      <c r="F339" t="s">
        <v>68</v>
      </c>
      <c r="G339" t="s">
        <v>16</v>
      </c>
      <c r="H339">
        <v>35</v>
      </c>
      <c r="I339" s="5">
        <v>55533</v>
      </c>
      <c r="J339" t="str" cm="1">
        <f t="array" ref="J33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39">
        <v>783</v>
      </c>
      <c r="L339" t="s">
        <v>34</v>
      </c>
      <c r="M339">
        <v>0</v>
      </c>
      <c r="N339">
        <v>2024</v>
      </c>
      <c r="O339" t="str" cm="1">
        <f t="array" ref="O33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39" t="s">
        <v>20</v>
      </c>
      <c r="Q339" s="5">
        <v>47700</v>
      </c>
      <c r="R339">
        <v>36</v>
      </c>
      <c r="S339">
        <v>10.99</v>
      </c>
      <c r="T339">
        <v>1561.41</v>
      </c>
      <c r="U339">
        <v>77.5</v>
      </c>
      <c r="V339" t="str" cm="1">
        <f t="array" ref="V33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39" t="s">
        <v>21</v>
      </c>
      <c r="X339">
        <v>0</v>
      </c>
      <c r="Y339">
        <v>0</v>
      </c>
      <c r="Z339" s="5">
        <f>IF(Merge1[[#This Row],[loan_applications.defaulted]]=0,Merge1[[#This Row],[loan_applications.loan_amount]]*(Merge1[[#This Row],[loan_applications.interest_rate]]/100)*(Merge1[[#This Row],[loan_applications.term_months]]/12),0)</f>
        <v>15726.689999999999</v>
      </c>
      <c r="AA339" s="5">
        <f>IF(Merge1[[#This Row],[loan_applications.defaulted]]=1,Merge1[[#This Row],[loan_applications.loan_amount]],0)</f>
        <v>0</v>
      </c>
    </row>
    <row r="340" spans="1:27" x14ac:dyDescent="0.35">
      <c r="A340" t="s">
        <v>689</v>
      </c>
      <c r="B340" t="s">
        <v>690</v>
      </c>
      <c r="C340" s="1">
        <v>45491</v>
      </c>
      <c r="D340">
        <v>45</v>
      </c>
      <c r="E340" t="s">
        <v>92</v>
      </c>
      <c r="F340" t="s">
        <v>32</v>
      </c>
      <c r="G340" t="s">
        <v>16</v>
      </c>
      <c r="H340">
        <v>17</v>
      </c>
      <c r="I340" s="5">
        <v>89088</v>
      </c>
      <c r="J340" t="str" cm="1">
        <f t="array" ref="J34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40">
        <v>765</v>
      </c>
      <c r="L340" t="s">
        <v>27</v>
      </c>
      <c r="M340">
        <v>0</v>
      </c>
      <c r="N340">
        <v>3452</v>
      </c>
      <c r="O340" t="str" cm="1">
        <f t="array" ref="O34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40" t="s">
        <v>54</v>
      </c>
      <c r="Q340" s="5">
        <v>28600</v>
      </c>
      <c r="R340">
        <v>24</v>
      </c>
      <c r="S340">
        <v>8.6999999999999993</v>
      </c>
      <c r="T340">
        <v>1302.6500000000001</v>
      </c>
      <c r="U340">
        <v>64</v>
      </c>
      <c r="V340" t="str" cm="1">
        <f t="array" ref="V34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40" t="s">
        <v>91</v>
      </c>
      <c r="X340">
        <v>15</v>
      </c>
      <c r="Y340">
        <v>0</v>
      </c>
      <c r="Z340" s="5">
        <f>IF(Merge1[[#This Row],[loan_applications.defaulted]]=0,Merge1[[#This Row],[loan_applications.loan_amount]]*(Merge1[[#This Row],[loan_applications.interest_rate]]/100)*(Merge1[[#This Row],[loan_applications.term_months]]/12),0)</f>
        <v>4976.3999999999996</v>
      </c>
      <c r="AA340" s="5">
        <f>IF(Merge1[[#This Row],[loan_applications.defaulted]]=1,Merge1[[#This Row],[loan_applications.loan_amount]],0)</f>
        <v>0</v>
      </c>
    </row>
    <row r="341" spans="1:27" x14ac:dyDescent="0.35">
      <c r="A341" t="s">
        <v>691</v>
      </c>
      <c r="B341" t="s">
        <v>692</v>
      </c>
      <c r="C341" s="1">
        <v>45639</v>
      </c>
      <c r="D341">
        <v>37</v>
      </c>
      <c r="E341" t="s">
        <v>74</v>
      </c>
      <c r="F341" t="s">
        <v>68</v>
      </c>
      <c r="G341" t="s">
        <v>75</v>
      </c>
      <c r="H341">
        <v>2</v>
      </c>
      <c r="I341" s="5">
        <v>30106</v>
      </c>
      <c r="J341" t="str" cm="1">
        <f t="array" ref="J34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41">
        <v>703</v>
      </c>
      <c r="L341" t="s">
        <v>34</v>
      </c>
      <c r="M341">
        <v>2</v>
      </c>
      <c r="N341">
        <v>422</v>
      </c>
      <c r="O341" t="str" cm="1">
        <f t="array" ref="O34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41" t="s">
        <v>56</v>
      </c>
      <c r="Q341" s="5">
        <v>4500</v>
      </c>
      <c r="R341">
        <v>36</v>
      </c>
      <c r="S341">
        <v>11.88</v>
      </c>
      <c r="T341">
        <v>149.21</v>
      </c>
      <c r="U341">
        <v>22.8</v>
      </c>
      <c r="V341" t="str" cm="1">
        <f t="array" ref="V34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41" t="s">
        <v>41</v>
      </c>
      <c r="X341">
        <v>0</v>
      </c>
      <c r="Y341">
        <v>0</v>
      </c>
      <c r="Z341" s="5">
        <f>IF(Merge1[[#This Row],[loan_applications.defaulted]]=0,Merge1[[#This Row],[loan_applications.loan_amount]]*(Merge1[[#This Row],[loan_applications.interest_rate]]/100)*(Merge1[[#This Row],[loan_applications.term_months]]/12),0)</f>
        <v>1603.8000000000002</v>
      </c>
      <c r="AA341" s="5">
        <f>IF(Merge1[[#This Row],[loan_applications.defaulted]]=1,Merge1[[#This Row],[loan_applications.loan_amount]],0)</f>
        <v>0</v>
      </c>
    </row>
    <row r="342" spans="1:27" x14ac:dyDescent="0.35">
      <c r="A342" t="s">
        <v>693</v>
      </c>
      <c r="B342" t="s">
        <v>692</v>
      </c>
      <c r="C342" s="1">
        <v>45432</v>
      </c>
      <c r="D342">
        <v>37</v>
      </c>
      <c r="E342" t="s">
        <v>74</v>
      </c>
      <c r="F342" t="s">
        <v>68</v>
      </c>
      <c r="G342" t="s">
        <v>75</v>
      </c>
      <c r="H342">
        <v>2</v>
      </c>
      <c r="I342" s="5">
        <v>30106</v>
      </c>
      <c r="J342" t="str" cm="1">
        <f t="array" ref="J34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42">
        <v>703</v>
      </c>
      <c r="L342" t="s">
        <v>34</v>
      </c>
      <c r="M342">
        <v>2</v>
      </c>
      <c r="N342">
        <v>422</v>
      </c>
      <c r="O342" t="str" cm="1">
        <f t="array" ref="O34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42" t="s">
        <v>50</v>
      </c>
      <c r="Q342" s="5">
        <v>36100</v>
      </c>
      <c r="R342">
        <v>12</v>
      </c>
      <c r="S342">
        <v>12.44</v>
      </c>
      <c r="T342">
        <v>3214.88</v>
      </c>
      <c r="U342">
        <v>145</v>
      </c>
      <c r="V342" t="str" cm="1">
        <f t="array" ref="V34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42" t="s">
        <v>41</v>
      </c>
      <c r="X342">
        <v>0</v>
      </c>
      <c r="Y342">
        <v>0</v>
      </c>
      <c r="Z342" s="5">
        <f>IF(Merge1[[#This Row],[loan_applications.defaulted]]=0,Merge1[[#This Row],[loan_applications.loan_amount]]*(Merge1[[#This Row],[loan_applications.interest_rate]]/100)*(Merge1[[#This Row],[loan_applications.term_months]]/12),0)</f>
        <v>4490.84</v>
      </c>
      <c r="AA342" s="5">
        <f>IF(Merge1[[#This Row],[loan_applications.defaulted]]=1,Merge1[[#This Row],[loan_applications.loan_amount]],0)</f>
        <v>0</v>
      </c>
    </row>
    <row r="343" spans="1:27" x14ac:dyDescent="0.35">
      <c r="A343" t="s">
        <v>694</v>
      </c>
      <c r="B343" t="s">
        <v>695</v>
      </c>
      <c r="C343" s="1">
        <v>45831</v>
      </c>
      <c r="D343">
        <v>59</v>
      </c>
      <c r="E343" t="s">
        <v>57</v>
      </c>
      <c r="F343" t="s">
        <v>32</v>
      </c>
      <c r="G343" t="s">
        <v>33</v>
      </c>
      <c r="H343">
        <v>10</v>
      </c>
      <c r="I343" s="5">
        <v>79534</v>
      </c>
      <c r="J343" t="str" cm="1">
        <f t="array" ref="J34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43">
        <v>754</v>
      </c>
      <c r="L343" t="s">
        <v>34</v>
      </c>
      <c r="M343">
        <v>0</v>
      </c>
      <c r="N343">
        <v>1017</v>
      </c>
      <c r="O343" t="str" cm="1">
        <f t="array" ref="O34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43" t="s">
        <v>37</v>
      </c>
      <c r="Q343" s="5">
        <v>19700</v>
      </c>
      <c r="R343">
        <v>36</v>
      </c>
      <c r="S343">
        <v>10.74</v>
      </c>
      <c r="T343">
        <v>642.53</v>
      </c>
      <c r="U343">
        <v>25</v>
      </c>
      <c r="V343" t="str" cm="1">
        <f t="array" ref="V34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43" t="s">
        <v>91</v>
      </c>
      <c r="X343">
        <v>30</v>
      </c>
      <c r="Y343">
        <v>0</v>
      </c>
      <c r="Z343" s="5">
        <f>IF(Merge1[[#This Row],[loan_applications.defaulted]]=0,Merge1[[#This Row],[loan_applications.loan_amount]]*(Merge1[[#This Row],[loan_applications.interest_rate]]/100)*(Merge1[[#This Row],[loan_applications.term_months]]/12),0)</f>
        <v>6347.3399999999992</v>
      </c>
      <c r="AA343" s="5">
        <f>IF(Merge1[[#This Row],[loan_applications.defaulted]]=1,Merge1[[#This Row],[loan_applications.loan_amount]],0)</f>
        <v>0</v>
      </c>
    </row>
    <row r="344" spans="1:27" x14ac:dyDescent="0.35">
      <c r="A344" t="s">
        <v>696</v>
      </c>
      <c r="B344" t="s">
        <v>695</v>
      </c>
      <c r="C344" s="1">
        <v>45488</v>
      </c>
      <c r="D344">
        <v>59</v>
      </c>
      <c r="E344" t="s">
        <v>57</v>
      </c>
      <c r="F344" t="s">
        <v>32</v>
      </c>
      <c r="G344" t="s">
        <v>33</v>
      </c>
      <c r="H344">
        <v>10</v>
      </c>
      <c r="I344" s="5">
        <v>79534</v>
      </c>
      <c r="J344" t="str" cm="1">
        <f t="array" ref="J34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44">
        <v>754</v>
      </c>
      <c r="L344" t="s">
        <v>34</v>
      </c>
      <c r="M344">
        <v>0</v>
      </c>
      <c r="N344">
        <v>1017</v>
      </c>
      <c r="O344" t="str" cm="1">
        <f t="array" ref="O34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44" t="s">
        <v>54</v>
      </c>
      <c r="Q344" s="5">
        <v>31300</v>
      </c>
      <c r="R344">
        <v>24</v>
      </c>
      <c r="S344">
        <v>11.41</v>
      </c>
      <c r="T344">
        <v>1464.79</v>
      </c>
      <c r="U344">
        <v>37.4</v>
      </c>
      <c r="V344" t="str" cm="1">
        <f t="array" ref="V34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44" t="s">
        <v>41</v>
      </c>
      <c r="X344">
        <v>0</v>
      </c>
      <c r="Y344">
        <v>0</v>
      </c>
      <c r="Z344" s="5">
        <f>IF(Merge1[[#This Row],[loan_applications.defaulted]]=0,Merge1[[#This Row],[loan_applications.loan_amount]]*(Merge1[[#This Row],[loan_applications.interest_rate]]/100)*(Merge1[[#This Row],[loan_applications.term_months]]/12),0)</f>
        <v>7142.6600000000008</v>
      </c>
      <c r="AA344" s="5">
        <f>IF(Merge1[[#This Row],[loan_applications.defaulted]]=1,Merge1[[#This Row],[loan_applications.loan_amount]],0)</f>
        <v>0</v>
      </c>
    </row>
    <row r="345" spans="1:27" x14ac:dyDescent="0.35">
      <c r="A345" t="s">
        <v>697</v>
      </c>
      <c r="B345" t="s">
        <v>698</v>
      </c>
      <c r="C345" s="1">
        <v>45593</v>
      </c>
      <c r="D345">
        <v>25</v>
      </c>
      <c r="E345" t="s">
        <v>383</v>
      </c>
      <c r="F345" t="s">
        <v>32</v>
      </c>
      <c r="G345" t="s">
        <v>26</v>
      </c>
      <c r="H345">
        <v>2</v>
      </c>
      <c r="I345" s="5">
        <v>78679</v>
      </c>
      <c r="J345" t="str" cm="1">
        <f t="array" ref="J34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45">
        <v>621</v>
      </c>
      <c r="L345" t="s">
        <v>17</v>
      </c>
      <c r="M345">
        <v>0</v>
      </c>
      <c r="N345">
        <v>1204</v>
      </c>
      <c r="O345" t="str" cm="1">
        <f t="array" ref="O34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45" t="s">
        <v>56</v>
      </c>
      <c r="Q345" s="5">
        <v>38600</v>
      </c>
      <c r="R345">
        <v>60</v>
      </c>
      <c r="S345">
        <v>10.6</v>
      </c>
      <c r="T345">
        <v>831.58</v>
      </c>
      <c r="U345">
        <v>31</v>
      </c>
      <c r="V345" t="str" cm="1">
        <f t="array" ref="V34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45" t="s">
        <v>41</v>
      </c>
      <c r="X345">
        <v>0</v>
      </c>
      <c r="Y345">
        <v>0</v>
      </c>
      <c r="Z345" s="5">
        <f>IF(Merge1[[#This Row],[loan_applications.defaulted]]=0,Merge1[[#This Row],[loan_applications.loan_amount]]*(Merge1[[#This Row],[loan_applications.interest_rate]]/100)*(Merge1[[#This Row],[loan_applications.term_months]]/12),0)</f>
        <v>20458</v>
      </c>
      <c r="AA345" s="5">
        <f>IF(Merge1[[#This Row],[loan_applications.defaulted]]=1,Merge1[[#This Row],[loan_applications.loan_amount]],0)</f>
        <v>0</v>
      </c>
    </row>
    <row r="346" spans="1:27" x14ac:dyDescent="0.35">
      <c r="A346" t="s">
        <v>699</v>
      </c>
      <c r="B346" t="s">
        <v>700</v>
      </c>
      <c r="C346" s="1">
        <v>45375</v>
      </c>
      <c r="D346">
        <v>54</v>
      </c>
      <c r="E346" t="s">
        <v>330</v>
      </c>
      <c r="F346" t="s">
        <v>47</v>
      </c>
      <c r="G346" t="s">
        <v>16</v>
      </c>
      <c r="H346">
        <v>3</v>
      </c>
      <c r="I346" s="5">
        <v>76451</v>
      </c>
      <c r="J346" t="str" cm="1">
        <f t="array" ref="J34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46">
        <v>745</v>
      </c>
      <c r="L346" t="s">
        <v>17</v>
      </c>
      <c r="M346">
        <v>2</v>
      </c>
      <c r="N346">
        <v>2552</v>
      </c>
      <c r="O346" t="str" cm="1">
        <f t="array" ref="O34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46" t="s">
        <v>50</v>
      </c>
      <c r="Q346" s="5">
        <v>48500</v>
      </c>
      <c r="R346">
        <v>48</v>
      </c>
      <c r="S346">
        <v>8.6300000000000008</v>
      </c>
      <c r="T346">
        <v>1198.42</v>
      </c>
      <c r="U346">
        <v>58.9</v>
      </c>
      <c r="V346" t="str" cm="1">
        <f t="array" ref="V34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46" t="s">
        <v>91</v>
      </c>
      <c r="X346">
        <v>0</v>
      </c>
      <c r="Y346">
        <v>0</v>
      </c>
      <c r="Z346" s="5">
        <f>IF(Merge1[[#This Row],[loan_applications.defaulted]]=0,Merge1[[#This Row],[loan_applications.loan_amount]]*(Merge1[[#This Row],[loan_applications.interest_rate]]/100)*(Merge1[[#This Row],[loan_applications.term_months]]/12),0)</f>
        <v>16742.2</v>
      </c>
      <c r="AA346" s="5">
        <f>IF(Merge1[[#This Row],[loan_applications.defaulted]]=1,Merge1[[#This Row],[loan_applications.loan_amount]],0)</f>
        <v>0</v>
      </c>
    </row>
    <row r="347" spans="1:27" x14ac:dyDescent="0.35">
      <c r="A347" t="s">
        <v>701</v>
      </c>
      <c r="B347" t="s">
        <v>702</v>
      </c>
      <c r="C347" s="1">
        <v>45823</v>
      </c>
      <c r="D347">
        <v>30</v>
      </c>
      <c r="E347" t="s">
        <v>25</v>
      </c>
      <c r="F347" t="s">
        <v>68</v>
      </c>
      <c r="G347" t="s">
        <v>16</v>
      </c>
      <c r="H347">
        <v>7</v>
      </c>
      <c r="I347" s="5">
        <v>67675</v>
      </c>
      <c r="J347" t="str" cm="1">
        <f t="array" ref="J34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47">
        <v>736</v>
      </c>
      <c r="L347" t="s">
        <v>27</v>
      </c>
      <c r="M347">
        <v>0</v>
      </c>
      <c r="N347">
        <v>1450</v>
      </c>
      <c r="O347" t="str" cm="1">
        <f t="array" ref="O34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47" t="s">
        <v>23</v>
      </c>
      <c r="Q347" s="5">
        <v>33000</v>
      </c>
      <c r="R347">
        <v>60</v>
      </c>
      <c r="S347">
        <v>9.6</v>
      </c>
      <c r="T347">
        <v>694.68</v>
      </c>
      <c r="U347">
        <v>38</v>
      </c>
      <c r="V347" t="str" cm="1">
        <f t="array" ref="V34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47" t="s">
        <v>41</v>
      </c>
      <c r="X347">
        <v>0</v>
      </c>
      <c r="Y347">
        <v>0</v>
      </c>
      <c r="Z347" s="5">
        <f>IF(Merge1[[#This Row],[loan_applications.defaulted]]=0,Merge1[[#This Row],[loan_applications.loan_amount]]*(Merge1[[#This Row],[loan_applications.interest_rate]]/100)*(Merge1[[#This Row],[loan_applications.term_months]]/12),0)</f>
        <v>15840</v>
      </c>
      <c r="AA347" s="5">
        <f>IF(Merge1[[#This Row],[loan_applications.defaulted]]=1,Merge1[[#This Row],[loan_applications.loan_amount]],0)</f>
        <v>0</v>
      </c>
    </row>
    <row r="348" spans="1:27" x14ac:dyDescent="0.35">
      <c r="A348" t="s">
        <v>703</v>
      </c>
      <c r="B348" t="s">
        <v>704</v>
      </c>
      <c r="C348" s="1">
        <v>45504</v>
      </c>
      <c r="D348">
        <v>50</v>
      </c>
      <c r="E348" t="s">
        <v>162</v>
      </c>
      <c r="F348" t="s">
        <v>15</v>
      </c>
      <c r="G348" t="s">
        <v>16</v>
      </c>
      <c r="H348">
        <v>16</v>
      </c>
      <c r="I348" s="5">
        <v>49464</v>
      </c>
      <c r="J348" t="str" cm="1">
        <f t="array" ref="J34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48">
        <v>736</v>
      </c>
      <c r="L348" t="s">
        <v>17</v>
      </c>
      <c r="M348">
        <v>3</v>
      </c>
      <c r="N348">
        <v>966</v>
      </c>
      <c r="O348" t="str" cm="1">
        <f t="array" ref="O34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48" t="s">
        <v>20</v>
      </c>
      <c r="Q348" s="5">
        <v>25800</v>
      </c>
      <c r="R348">
        <v>60</v>
      </c>
      <c r="S348">
        <v>10.98</v>
      </c>
      <c r="T348">
        <v>560.70000000000005</v>
      </c>
      <c r="U348">
        <v>37</v>
      </c>
      <c r="V348" t="str" cm="1">
        <f t="array" ref="V34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48" t="s">
        <v>21</v>
      </c>
      <c r="X348">
        <v>0</v>
      </c>
      <c r="Y348">
        <v>0</v>
      </c>
      <c r="Z348" s="5">
        <f>IF(Merge1[[#This Row],[loan_applications.defaulted]]=0,Merge1[[#This Row],[loan_applications.loan_amount]]*(Merge1[[#This Row],[loan_applications.interest_rate]]/100)*(Merge1[[#This Row],[loan_applications.term_months]]/12),0)</f>
        <v>14164.2</v>
      </c>
      <c r="AA348" s="5">
        <f>IF(Merge1[[#This Row],[loan_applications.defaulted]]=1,Merge1[[#This Row],[loan_applications.loan_amount]],0)</f>
        <v>0</v>
      </c>
    </row>
    <row r="349" spans="1:27" x14ac:dyDescent="0.35">
      <c r="A349" t="s">
        <v>705</v>
      </c>
      <c r="B349" t="s">
        <v>706</v>
      </c>
      <c r="C349" s="1">
        <v>45675</v>
      </c>
      <c r="D349">
        <v>53</v>
      </c>
      <c r="E349" t="s">
        <v>162</v>
      </c>
      <c r="F349" t="s">
        <v>68</v>
      </c>
      <c r="G349" t="s">
        <v>26</v>
      </c>
      <c r="H349">
        <v>29</v>
      </c>
      <c r="I349" s="5">
        <v>65165</v>
      </c>
      <c r="J349" t="str" cm="1">
        <f t="array" ref="J34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49">
        <v>582</v>
      </c>
      <c r="L349" t="s">
        <v>34</v>
      </c>
      <c r="M349">
        <v>1</v>
      </c>
      <c r="N349">
        <v>443</v>
      </c>
      <c r="O349" t="str" cm="1">
        <f t="array" ref="O34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49" t="s">
        <v>37</v>
      </c>
      <c r="Q349" s="5">
        <v>20100</v>
      </c>
      <c r="R349">
        <v>24</v>
      </c>
      <c r="S349">
        <v>14.98</v>
      </c>
      <c r="T349">
        <v>974.39</v>
      </c>
      <c r="U349">
        <v>26.1</v>
      </c>
      <c r="V349" t="str" cm="1">
        <f t="array" ref="V34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49" t="s">
        <v>24</v>
      </c>
      <c r="X349">
        <v>51</v>
      </c>
      <c r="Y349">
        <v>1</v>
      </c>
      <c r="Z34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49" s="5">
        <f>IF(Merge1[[#This Row],[loan_applications.defaulted]]=1,Merge1[[#This Row],[loan_applications.loan_amount]],0)</f>
        <v>20100</v>
      </c>
    </row>
    <row r="350" spans="1:27" x14ac:dyDescent="0.35">
      <c r="A350" t="s">
        <v>707</v>
      </c>
      <c r="B350" t="s">
        <v>708</v>
      </c>
      <c r="C350" s="1">
        <v>45768</v>
      </c>
      <c r="D350">
        <v>56</v>
      </c>
      <c r="E350" t="s">
        <v>383</v>
      </c>
      <c r="F350" t="s">
        <v>32</v>
      </c>
      <c r="G350" t="s">
        <v>75</v>
      </c>
      <c r="H350">
        <v>17</v>
      </c>
      <c r="I350" s="5">
        <v>55935</v>
      </c>
      <c r="J350" t="str" cm="1">
        <f t="array" ref="J35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50">
        <v>783</v>
      </c>
      <c r="L350" t="s">
        <v>34</v>
      </c>
      <c r="M350">
        <v>1</v>
      </c>
      <c r="N350">
        <v>1580</v>
      </c>
      <c r="O350" t="str" cm="1">
        <f t="array" ref="O35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50" t="s">
        <v>54</v>
      </c>
      <c r="Q350" s="5">
        <v>19900</v>
      </c>
      <c r="R350">
        <v>24</v>
      </c>
      <c r="S350">
        <v>9.8699999999999992</v>
      </c>
      <c r="T350">
        <v>917.09</v>
      </c>
      <c r="U350">
        <v>53.6</v>
      </c>
      <c r="V350" t="str" cm="1">
        <f t="array" ref="V35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50" t="s">
        <v>41</v>
      </c>
      <c r="X350">
        <v>0</v>
      </c>
      <c r="Y350">
        <v>0</v>
      </c>
      <c r="Z350" s="5">
        <f>IF(Merge1[[#This Row],[loan_applications.defaulted]]=0,Merge1[[#This Row],[loan_applications.loan_amount]]*(Merge1[[#This Row],[loan_applications.interest_rate]]/100)*(Merge1[[#This Row],[loan_applications.term_months]]/12),0)</f>
        <v>3928.2599999999998</v>
      </c>
      <c r="AA350" s="5">
        <f>IF(Merge1[[#This Row],[loan_applications.defaulted]]=1,Merge1[[#This Row],[loan_applications.loan_amount]],0)</f>
        <v>0</v>
      </c>
    </row>
    <row r="351" spans="1:27" x14ac:dyDescent="0.35">
      <c r="A351" t="s">
        <v>709</v>
      </c>
      <c r="B351" t="s">
        <v>710</v>
      </c>
      <c r="C351" s="1">
        <v>45744</v>
      </c>
      <c r="D351">
        <v>58</v>
      </c>
      <c r="E351" t="s">
        <v>57</v>
      </c>
      <c r="F351" t="s">
        <v>62</v>
      </c>
      <c r="G351" t="s">
        <v>16</v>
      </c>
      <c r="H351">
        <v>2</v>
      </c>
      <c r="I351" s="5">
        <v>131318</v>
      </c>
      <c r="J351" t="str" cm="1">
        <f t="array" ref="J35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51">
        <v>574</v>
      </c>
      <c r="L351" t="s">
        <v>27</v>
      </c>
      <c r="M351">
        <v>3</v>
      </c>
      <c r="N351">
        <v>636</v>
      </c>
      <c r="O351" t="str" cm="1">
        <f t="array" ref="O35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51" t="s">
        <v>45</v>
      </c>
      <c r="Q351" s="5">
        <v>17200</v>
      </c>
      <c r="R351">
        <v>48</v>
      </c>
      <c r="S351">
        <v>10.56</v>
      </c>
      <c r="T351">
        <v>440.88</v>
      </c>
      <c r="U351">
        <v>9.8000000000000007</v>
      </c>
      <c r="V351" t="str" cm="1">
        <f t="array" ref="V35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351" t="s">
        <v>24</v>
      </c>
      <c r="X351">
        <v>49</v>
      </c>
      <c r="Y351">
        <v>1</v>
      </c>
      <c r="Z35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51" s="5">
        <f>IF(Merge1[[#This Row],[loan_applications.defaulted]]=1,Merge1[[#This Row],[loan_applications.loan_amount]],0)</f>
        <v>17200</v>
      </c>
    </row>
    <row r="352" spans="1:27" x14ac:dyDescent="0.35">
      <c r="A352" t="s">
        <v>711</v>
      </c>
      <c r="B352" t="s">
        <v>712</v>
      </c>
      <c r="C352" s="1">
        <v>45575</v>
      </c>
      <c r="D352">
        <v>32</v>
      </c>
      <c r="E352" t="s">
        <v>14</v>
      </c>
      <c r="F352" t="s">
        <v>32</v>
      </c>
      <c r="G352" t="s">
        <v>26</v>
      </c>
      <c r="H352">
        <v>11</v>
      </c>
      <c r="I352" s="5">
        <v>101722</v>
      </c>
      <c r="J352" t="str" cm="1">
        <f t="array" ref="J35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52">
        <v>648</v>
      </c>
      <c r="L352" t="s">
        <v>17</v>
      </c>
      <c r="M352">
        <v>2</v>
      </c>
      <c r="N352">
        <v>1097</v>
      </c>
      <c r="O352" t="str" cm="1">
        <f t="array" ref="O35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52" t="s">
        <v>54</v>
      </c>
      <c r="Q352" s="5">
        <v>26100</v>
      </c>
      <c r="R352">
        <v>60</v>
      </c>
      <c r="S352">
        <v>12.42</v>
      </c>
      <c r="T352">
        <v>586.13</v>
      </c>
      <c r="U352">
        <v>19.899999999999999</v>
      </c>
      <c r="V352" t="str" cm="1">
        <f t="array" ref="V35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352" t="s">
        <v>41</v>
      </c>
      <c r="X352">
        <v>0</v>
      </c>
      <c r="Y352">
        <v>0</v>
      </c>
      <c r="Z352" s="5">
        <f>IF(Merge1[[#This Row],[loan_applications.defaulted]]=0,Merge1[[#This Row],[loan_applications.loan_amount]]*(Merge1[[#This Row],[loan_applications.interest_rate]]/100)*(Merge1[[#This Row],[loan_applications.term_months]]/12),0)</f>
        <v>16208.100000000002</v>
      </c>
      <c r="AA352" s="5">
        <f>IF(Merge1[[#This Row],[loan_applications.defaulted]]=1,Merge1[[#This Row],[loan_applications.loan_amount]],0)</f>
        <v>0</v>
      </c>
    </row>
    <row r="353" spans="1:27" x14ac:dyDescent="0.35">
      <c r="A353" t="s">
        <v>713</v>
      </c>
      <c r="B353" t="s">
        <v>714</v>
      </c>
      <c r="C353" s="1">
        <v>45573</v>
      </c>
      <c r="D353">
        <v>39</v>
      </c>
      <c r="E353" t="s">
        <v>383</v>
      </c>
      <c r="F353" t="s">
        <v>15</v>
      </c>
      <c r="G353" t="s">
        <v>26</v>
      </c>
      <c r="H353">
        <v>1</v>
      </c>
      <c r="I353" s="5">
        <v>25301</v>
      </c>
      <c r="J353" t="str" cm="1">
        <f t="array" ref="J35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53">
        <v>609</v>
      </c>
      <c r="L353" t="s">
        <v>34</v>
      </c>
      <c r="M353">
        <v>2</v>
      </c>
      <c r="N353">
        <v>901</v>
      </c>
      <c r="O353" t="str" cm="1">
        <f t="array" ref="O35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53" t="s">
        <v>56</v>
      </c>
      <c r="Q353" s="5">
        <v>12600</v>
      </c>
      <c r="R353">
        <v>36</v>
      </c>
      <c r="S353">
        <v>11.36</v>
      </c>
      <c r="T353">
        <v>414.66</v>
      </c>
      <c r="U353">
        <v>62.4</v>
      </c>
      <c r="V353" t="str" cm="1">
        <f t="array" ref="V35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53" t="s">
        <v>24</v>
      </c>
      <c r="X353">
        <v>65</v>
      </c>
      <c r="Y353">
        <v>1</v>
      </c>
      <c r="Z35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53" s="5">
        <f>IF(Merge1[[#This Row],[loan_applications.defaulted]]=1,Merge1[[#This Row],[loan_applications.loan_amount]],0)</f>
        <v>12600</v>
      </c>
    </row>
    <row r="354" spans="1:27" x14ac:dyDescent="0.35">
      <c r="A354" t="s">
        <v>715</v>
      </c>
      <c r="B354" t="s">
        <v>716</v>
      </c>
      <c r="C354" s="1">
        <v>45646</v>
      </c>
      <c r="D354">
        <v>49</v>
      </c>
      <c r="E354" t="s">
        <v>51</v>
      </c>
      <c r="F354" t="s">
        <v>32</v>
      </c>
      <c r="G354" t="s">
        <v>16</v>
      </c>
      <c r="H354">
        <v>2</v>
      </c>
      <c r="I354" s="5">
        <v>40669</v>
      </c>
      <c r="J354" t="str" cm="1">
        <f t="array" ref="J35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54">
        <v>774</v>
      </c>
      <c r="L354" t="s">
        <v>27</v>
      </c>
      <c r="M354">
        <v>1</v>
      </c>
      <c r="N354">
        <v>923</v>
      </c>
      <c r="O354" t="str" cm="1">
        <f t="array" ref="O35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54" t="s">
        <v>30</v>
      </c>
      <c r="Q354" s="5">
        <v>2400</v>
      </c>
      <c r="R354">
        <v>36</v>
      </c>
      <c r="S354">
        <v>8.51</v>
      </c>
      <c r="T354">
        <v>75.77</v>
      </c>
      <c r="U354">
        <v>29.5</v>
      </c>
      <c r="V354" t="str" cm="1">
        <f t="array" ref="V35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54" t="s">
        <v>41</v>
      </c>
      <c r="X354">
        <v>0</v>
      </c>
      <c r="Y354">
        <v>0</v>
      </c>
      <c r="Z354" s="5">
        <f>IF(Merge1[[#This Row],[loan_applications.defaulted]]=0,Merge1[[#This Row],[loan_applications.loan_amount]]*(Merge1[[#This Row],[loan_applications.interest_rate]]/100)*(Merge1[[#This Row],[loan_applications.term_months]]/12),0)</f>
        <v>612.71999999999991</v>
      </c>
      <c r="AA354" s="5">
        <f>IF(Merge1[[#This Row],[loan_applications.defaulted]]=1,Merge1[[#This Row],[loan_applications.loan_amount]],0)</f>
        <v>0</v>
      </c>
    </row>
    <row r="355" spans="1:27" x14ac:dyDescent="0.35">
      <c r="A355" t="s">
        <v>717</v>
      </c>
      <c r="B355" t="s">
        <v>716</v>
      </c>
      <c r="C355" s="1">
        <v>45444</v>
      </c>
      <c r="D355">
        <v>49</v>
      </c>
      <c r="E355" t="s">
        <v>51</v>
      </c>
      <c r="F355" t="s">
        <v>32</v>
      </c>
      <c r="G355" t="s">
        <v>16</v>
      </c>
      <c r="H355">
        <v>2</v>
      </c>
      <c r="I355" s="5">
        <v>40669</v>
      </c>
      <c r="J355" t="str" cm="1">
        <f t="array" ref="J35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55">
        <v>774</v>
      </c>
      <c r="L355" t="s">
        <v>27</v>
      </c>
      <c r="M355">
        <v>1</v>
      </c>
      <c r="N355">
        <v>923</v>
      </c>
      <c r="O355" t="str" cm="1">
        <f t="array" ref="O35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55" t="s">
        <v>71</v>
      </c>
      <c r="Q355" s="5">
        <v>2600</v>
      </c>
      <c r="R355">
        <v>60</v>
      </c>
      <c r="S355">
        <v>12.05</v>
      </c>
      <c r="T355">
        <v>57.9</v>
      </c>
      <c r="U355">
        <v>28.9</v>
      </c>
      <c r="V355" t="str" cm="1">
        <f t="array" ref="V35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55" t="s">
        <v>21</v>
      </c>
      <c r="X355">
        <v>0</v>
      </c>
      <c r="Y355">
        <v>0</v>
      </c>
      <c r="Z355" s="5">
        <f>IF(Merge1[[#This Row],[loan_applications.defaulted]]=0,Merge1[[#This Row],[loan_applications.loan_amount]]*(Merge1[[#This Row],[loan_applications.interest_rate]]/100)*(Merge1[[#This Row],[loan_applications.term_months]]/12),0)</f>
        <v>1566.5</v>
      </c>
      <c r="AA355" s="5">
        <f>IF(Merge1[[#This Row],[loan_applications.defaulted]]=1,Merge1[[#This Row],[loan_applications.loan_amount]],0)</f>
        <v>0</v>
      </c>
    </row>
    <row r="356" spans="1:27" x14ac:dyDescent="0.35">
      <c r="A356" t="s">
        <v>718</v>
      </c>
      <c r="B356" t="s">
        <v>719</v>
      </c>
      <c r="C356" s="1">
        <v>45764</v>
      </c>
      <c r="D356">
        <v>22</v>
      </c>
      <c r="E356" t="s">
        <v>42</v>
      </c>
      <c r="F356" t="s">
        <v>32</v>
      </c>
      <c r="G356" t="s">
        <v>33</v>
      </c>
      <c r="H356">
        <v>2</v>
      </c>
      <c r="I356" s="5">
        <v>103644</v>
      </c>
      <c r="J356" t="str" cm="1">
        <f t="array" ref="J35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56">
        <v>761</v>
      </c>
      <c r="L356" t="s">
        <v>27</v>
      </c>
      <c r="M356">
        <v>0</v>
      </c>
      <c r="N356">
        <v>817</v>
      </c>
      <c r="O356" t="str" cm="1">
        <f t="array" ref="O35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56" t="s">
        <v>56</v>
      </c>
      <c r="Q356" s="5">
        <v>39700</v>
      </c>
      <c r="R356">
        <v>48</v>
      </c>
      <c r="S356">
        <v>10.93</v>
      </c>
      <c r="T356">
        <v>1024.72</v>
      </c>
      <c r="U356">
        <v>21.3</v>
      </c>
      <c r="V356" t="str" cm="1">
        <f t="array" ref="V35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56" t="s">
        <v>21</v>
      </c>
      <c r="X356">
        <v>0</v>
      </c>
      <c r="Y356">
        <v>0</v>
      </c>
      <c r="Z356" s="5">
        <f>IF(Merge1[[#This Row],[loan_applications.defaulted]]=0,Merge1[[#This Row],[loan_applications.loan_amount]]*(Merge1[[#This Row],[loan_applications.interest_rate]]/100)*(Merge1[[#This Row],[loan_applications.term_months]]/12),0)</f>
        <v>17356.84</v>
      </c>
      <c r="AA356" s="5">
        <f>IF(Merge1[[#This Row],[loan_applications.defaulted]]=1,Merge1[[#This Row],[loan_applications.loan_amount]],0)</f>
        <v>0</v>
      </c>
    </row>
    <row r="357" spans="1:27" x14ac:dyDescent="0.35">
      <c r="A357" t="s">
        <v>720</v>
      </c>
      <c r="B357" t="s">
        <v>721</v>
      </c>
      <c r="C357" s="1">
        <v>45434</v>
      </c>
      <c r="D357">
        <v>28</v>
      </c>
      <c r="E357" t="s">
        <v>125</v>
      </c>
      <c r="F357" t="s">
        <v>15</v>
      </c>
      <c r="G357" t="s">
        <v>26</v>
      </c>
      <c r="H357">
        <v>2</v>
      </c>
      <c r="I357" s="5">
        <v>32933</v>
      </c>
      <c r="J357" t="str" cm="1">
        <f t="array" ref="J35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57">
        <v>720</v>
      </c>
      <c r="L357" t="s">
        <v>34</v>
      </c>
      <c r="M357">
        <v>0</v>
      </c>
      <c r="N357">
        <v>865</v>
      </c>
      <c r="O357" t="str" cm="1">
        <f t="array" ref="O35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57" t="s">
        <v>23</v>
      </c>
      <c r="Q357" s="5">
        <v>9300</v>
      </c>
      <c r="R357">
        <v>60</v>
      </c>
      <c r="S357">
        <v>8.15</v>
      </c>
      <c r="T357">
        <v>189.24</v>
      </c>
      <c r="U357">
        <v>38.4</v>
      </c>
      <c r="V357" t="str" cm="1">
        <f t="array" ref="V35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57" t="s">
        <v>21</v>
      </c>
      <c r="X357">
        <v>0</v>
      </c>
      <c r="Y357">
        <v>0</v>
      </c>
      <c r="Z357" s="5">
        <f>IF(Merge1[[#This Row],[loan_applications.defaulted]]=0,Merge1[[#This Row],[loan_applications.loan_amount]]*(Merge1[[#This Row],[loan_applications.interest_rate]]/100)*(Merge1[[#This Row],[loan_applications.term_months]]/12),0)</f>
        <v>3789.75</v>
      </c>
      <c r="AA357" s="5">
        <f>IF(Merge1[[#This Row],[loan_applications.defaulted]]=1,Merge1[[#This Row],[loan_applications.loan_amount]],0)</f>
        <v>0</v>
      </c>
    </row>
    <row r="358" spans="1:27" x14ac:dyDescent="0.35">
      <c r="A358" t="s">
        <v>722</v>
      </c>
      <c r="B358" t="s">
        <v>723</v>
      </c>
      <c r="C358" s="1">
        <v>45598</v>
      </c>
      <c r="D358">
        <v>22</v>
      </c>
      <c r="E358" t="s">
        <v>61</v>
      </c>
      <c r="F358" t="s">
        <v>32</v>
      </c>
      <c r="G358" t="s">
        <v>26</v>
      </c>
      <c r="H358">
        <v>2</v>
      </c>
      <c r="I358" s="5">
        <v>63005</v>
      </c>
      <c r="J358" t="str" cm="1">
        <f t="array" ref="J35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58">
        <v>644</v>
      </c>
      <c r="L358" t="s">
        <v>17</v>
      </c>
      <c r="M358">
        <v>1</v>
      </c>
      <c r="N358">
        <v>2064</v>
      </c>
      <c r="O358" t="str" cm="1">
        <f t="array" ref="O35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58" t="s">
        <v>45</v>
      </c>
      <c r="Q358" s="5">
        <v>19900</v>
      </c>
      <c r="R358">
        <v>48</v>
      </c>
      <c r="S358">
        <v>13.08</v>
      </c>
      <c r="T358">
        <v>534.66</v>
      </c>
      <c r="U358">
        <v>49.5</v>
      </c>
      <c r="V358" t="str" cm="1">
        <f t="array" ref="V35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58" t="s">
        <v>21</v>
      </c>
      <c r="X358">
        <v>0</v>
      </c>
      <c r="Y358">
        <v>0</v>
      </c>
      <c r="Z358" s="5">
        <f>IF(Merge1[[#This Row],[loan_applications.defaulted]]=0,Merge1[[#This Row],[loan_applications.loan_amount]]*(Merge1[[#This Row],[loan_applications.interest_rate]]/100)*(Merge1[[#This Row],[loan_applications.term_months]]/12),0)</f>
        <v>10411.68</v>
      </c>
      <c r="AA358" s="5">
        <f>IF(Merge1[[#This Row],[loan_applications.defaulted]]=1,Merge1[[#This Row],[loan_applications.loan_amount]],0)</f>
        <v>0</v>
      </c>
    </row>
    <row r="359" spans="1:27" x14ac:dyDescent="0.35">
      <c r="A359" t="s">
        <v>724</v>
      </c>
      <c r="B359" t="s">
        <v>725</v>
      </c>
      <c r="C359" s="1">
        <v>45692</v>
      </c>
      <c r="D359">
        <v>35</v>
      </c>
      <c r="E359" t="s">
        <v>92</v>
      </c>
      <c r="F359" t="s">
        <v>15</v>
      </c>
      <c r="G359" t="s">
        <v>26</v>
      </c>
      <c r="H359">
        <v>12</v>
      </c>
      <c r="I359" s="5">
        <v>48886</v>
      </c>
      <c r="J359" t="str" cm="1">
        <f t="array" ref="J35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59">
        <v>831</v>
      </c>
      <c r="L359" t="s">
        <v>34</v>
      </c>
      <c r="M359">
        <v>1</v>
      </c>
      <c r="N359">
        <v>488</v>
      </c>
      <c r="O359" t="str" cm="1">
        <f t="array" ref="O35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59" t="s">
        <v>50</v>
      </c>
      <c r="Q359" s="5">
        <v>49700</v>
      </c>
      <c r="R359">
        <v>60</v>
      </c>
      <c r="S359">
        <v>9.3000000000000007</v>
      </c>
      <c r="T359">
        <v>1038.94</v>
      </c>
      <c r="U359">
        <v>37.5</v>
      </c>
      <c r="V359" t="str" cm="1">
        <f t="array" ref="V35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59" t="s">
        <v>41</v>
      </c>
      <c r="X359">
        <v>0</v>
      </c>
      <c r="Y359">
        <v>0</v>
      </c>
      <c r="Z359" s="5">
        <f>IF(Merge1[[#This Row],[loan_applications.defaulted]]=0,Merge1[[#This Row],[loan_applications.loan_amount]]*(Merge1[[#This Row],[loan_applications.interest_rate]]/100)*(Merge1[[#This Row],[loan_applications.term_months]]/12),0)</f>
        <v>23110.5</v>
      </c>
      <c r="AA359" s="5">
        <f>IF(Merge1[[#This Row],[loan_applications.defaulted]]=1,Merge1[[#This Row],[loan_applications.loan_amount]],0)</f>
        <v>0</v>
      </c>
    </row>
    <row r="360" spans="1:27" x14ac:dyDescent="0.35">
      <c r="A360" t="s">
        <v>726</v>
      </c>
      <c r="B360" t="s">
        <v>725</v>
      </c>
      <c r="C360" s="1">
        <v>45754</v>
      </c>
      <c r="D360">
        <v>35</v>
      </c>
      <c r="E360" t="s">
        <v>92</v>
      </c>
      <c r="F360" t="s">
        <v>15</v>
      </c>
      <c r="G360" t="s">
        <v>26</v>
      </c>
      <c r="H360">
        <v>12</v>
      </c>
      <c r="I360" s="5">
        <v>48886</v>
      </c>
      <c r="J360" t="str" cm="1">
        <f t="array" ref="J36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60">
        <v>831</v>
      </c>
      <c r="L360" t="s">
        <v>34</v>
      </c>
      <c r="M360">
        <v>1</v>
      </c>
      <c r="N360">
        <v>488</v>
      </c>
      <c r="O360" t="str" cm="1">
        <f t="array" ref="O36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0" t="s">
        <v>30</v>
      </c>
      <c r="Q360" s="5">
        <v>18800</v>
      </c>
      <c r="R360">
        <v>36</v>
      </c>
      <c r="S360">
        <v>9</v>
      </c>
      <c r="T360">
        <v>597.83000000000004</v>
      </c>
      <c r="U360">
        <v>26.7</v>
      </c>
      <c r="V360" t="str" cm="1">
        <f t="array" ref="V36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60" t="s">
        <v>41</v>
      </c>
      <c r="X360">
        <v>0</v>
      </c>
      <c r="Y360">
        <v>0</v>
      </c>
      <c r="Z360" s="5">
        <f>IF(Merge1[[#This Row],[loan_applications.defaulted]]=0,Merge1[[#This Row],[loan_applications.loan_amount]]*(Merge1[[#This Row],[loan_applications.interest_rate]]/100)*(Merge1[[#This Row],[loan_applications.term_months]]/12),0)</f>
        <v>5076</v>
      </c>
      <c r="AA360" s="5">
        <f>IF(Merge1[[#This Row],[loan_applications.defaulted]]=1,Merge1[[#This Row],[loan_applications.loan_amount]],0)</f>
        <v>0</v>
      </c>
    </row>
    <row r="361" spans="1:27" x14ac:dyDescent="0.35">
      <c r="A361" t="s">
        <v>727</v>
      </c>
      <c r="B361" t="s">
        <v>728</v>
      </c>
      <c r="C361" s="1">
        <v>45495</v>
      </c>
      <c r="D361">
        <v>39</v>
      </c>
      <c r="E361" t="s">
        <v>162</v>
      </c>
      <c r="F361" t="s">
        <v>32</v>
      </c>
      <c r="G361" t="s">
        <v>26</v>
      </c>
      <c r="H361">
        <v>9</v>
      </c>
      <c r="I361" s="5">
        <v>78943</v>
      </c>
      <c r="J361" t="str" cm="1">
        <f t="array" ref="J36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61">
        <v>846</v>
      </c>
      <c r="L361" t="s">
        <v>17</v>
      </c>
      <c r="M361">
        <v>0</v>
      </c>
      <c r="N361">
        <v>3115</v>
      </c>
      <c r="O361" t="str" cm="1">
        <f t="array" ref="O36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1" t="s">
        <v>50</v>
      </c>
      <c r="Q361" s="5">
        <v>19000</v>
      </c>
      <c r="R361">
        <v>48</v>
      </c>
      <c r="S361">
        <v>6.03</v>
      </c>
      <c r="T361">
        <v>446.48</v>
      </c>
      <c r="U361">
        <v>54.1</v>
      </c>
      <c r="V361" t="str" cm="1">
        <f t="array" ref="V36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61" t="s">
        <v>24</v>
      </c>
      <c r="X361">
        <v>128</v>
      </c>
      <c r="Y361">
        <v>1</v>
      </c>
      <c r="Z36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61" s="5">
        <f>IF(Merge1[[#This Row],[loan_applications.defaulted]]=1,Merge1[[#This Row],[loan_applications.loan_amount]],0)</f>
        <v>19000</v>
      </c>
    </row>
    <row r="362" spans="1:27" x14ac:dyDescent="0.35">
      <c r="A362" t="s">
        <v>729</v>
      </c>
      <c r="B362" t="s">
        <v>730</v>
      </c>
      <c r="C362" s="1">
        <v>45822</v>
      </c>
      <c r="D362">
        <v>41</v>
      </c>
      <c r="E362" t="s">
        <v>57</v>
      </c>
      <c r="F362" t="s">
        <v>68</v>
      </c>
      <c r="G362" t="s">
        <v>63</v>
      </c>
      <c r="H362">
        <v>9</v>
      </c>
      <c r="I362" s="5">
        <v>20963</v>
      </c>
      <c r="J362" t="str" cm="1">
        <f t="array" ref="J36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62">
        <v>725</v>
      </c>
      <c r="L362" t="s">
        <v>34</v>
      </c>
      <c r="M362">
        <v>3</v>
      </c>
      <c r="N362">
        <v>921</v>
      </c>
      <c r="O362" t="str" cm="1">
        <f t="array" ref="O36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62" t="s">
        <v>56</v>
      </c>
      <c r="Q362" s="5">
        <v>8100</v>
      </c>
      <c r="R362">
        <v>48</v>
      </c>
      <c r="S362">
        <v>8.1999999999999993</v>
      </c>
      <c r="T362">
        <v>198.51</v>
      </c>
      <c r="U362">
        <v>64.099999999999994</v>
      </c>
      <c r="V362" t="str" cm="1">
        <f t="array" ref="V36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62" t="s">
        <v>24</v>
      </c>
      <c r="X362">
        <v>113</v>
      </c>
      <c r="Y362">
        <v>1</v>
      </c>
      <c r="Z36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62" s="5">
        <f>IF(Merge1[[#This Row],[loan_applications.defaulted]]=1,Merge1[[#This Row],[loan_applications.loan_amount]],0)</f>
        <v>8100</v>
      </c>
    </row>
    <row r="363" spans="1:27" x14ac:dyDescent="0.35">
      <c r="A363" t="s">
        <v>731</v>
      </c>
      <c r="B363" t="s">
        <v>732</v>
      </c>
      <c r="C363" s="1">
        <v>45781</v>
      </c>
      <c r="D363">
        <v>53</v>
      </c>
      <c r="E363" t="s">
        <v>86</v>
      </c>
      <c r="F363" t="s">
        <v>32</v>
      </c>
      <c r="G363" t="s">
        <v>26</v>
      </c>
      <c r="H363">
        <v>33</v>
      </c>
      <c r="I363" s="5">
        <v>81309</v>
      </c>
      <c r="J363" t="str" cm="1">
        <f t="array" ref="J36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63">
        <v>576</v>
      </c>
      <c r="L363" t="s">
        <v>17</v>
      </c>
      <c r="M363">
        <v>4</v>
      </c>
      <c r="N363">
        <v>3502</v>
      </c>
      <c r="O363" t="str" cm="1">
        <f t="array" ref="O36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63" t="s">
        <v>23</v>
      </c>
      <c r="Q363" s="5">
        <v>49500</v>
      </c>
      <c r="R363">
        <v>24</v>
      </c>
      <c r="S363">
        <v>13.08</v>
      </c>
      <c r="T363">
        <v>2355.1799999999998</v>
      </c>
      <c r="U363">
        <v>86.4</v>
      </c>
      <c r="V363" t="str" cm="1">
        <f t="array" ref="V36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63" t="s">
        <v>21</v>
      </c>
      <c r="X363">
        <v>0</v>
      </c>
      <c r="Y363">
        <v>0</v>
      </c>
      <c r="Z363" s="5">
        <f>IF(Merge1[[#This Row],[loan_applications.defaulted]]=0,Merge1[[#This Row],[loan_applications.loan_amount]]*(Merge1[[#This Row],[loan_applications.interest_rate]]/100)*(Merge1[[#This Row],[loan_applications.term_months]]/12),0)</f>
        <v>12949.2</v>
      </c>
      <c r="AA363" s="5">
        <f>IF(Merge1[[#This Row],[loan_applications.defaulted]]=1,Merge1[[#This Row],[loan_applications.loan_amount]],0)</f>
        <v>0</v>
      </c>
    </row>
    <row r="364" spans="1:27" x14ac:dyDescent="0.35">
      <c r="A364" t="s">
        <v>733</v>
      </c>
      <c r="B364" t="s">
        <v>732</v>
      </c>
      <c r="C364" s="1">
        <v>45778</v>
      </c>
      <c r="D364">
        <v>53</v>
      </c>
      <c r="E364" t="s">
        <v>86</v>
      </c>
      <c r="F364" t="s">
        <v>32</v>
      </c>
      <c r="G364" t="s">
        <v>26</v>
      </c>
      <c r="H364">
        <v>33</v>
      </c>
      <c r="I364" s="5">
        <v>81309</v>
      </c>
      <c r="J364" t="str" cm="1">
        <f t="array" ref="J36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64">
        <v>576</v>
      </c>
      <c r="L364" t="s">
        <v>17</v>
      </c>
      <c r="M364">
        <v>4</v>
      </c>
      <c r="N364">
        <v>3502</v>
      </c>
      <c r="O364" t="str" cm="1">
        <f t="array" ref="O36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64" t="s">
        <v>56</v>
      </c>
      <c r="Q364" s="5">
        <v>9200</v>
      </c>
      <c r="R364">
        <v>48</v>
      </c>
      <c r="S364">
        <v>14.49</v>
      </c>
      <c r="T364">
        <v>253.67</v>
      </c>
      <c r="U364">
        <v>55.4</v>
      </c>
      <c r="V364" t="str" cm="1">
        <f t="array" ref="V36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64" t="s">
        <v>24</v>
      </c>
      <c r="X364">
        <v>177</v>
      </c>
      <c r="Y364">
        <v>1</v>
      </c>
      <c r="Z36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64" s="5">
        <f>IF(Merge1[[#This Row],[loan_applications.defaulted]]=1,Merge1[[#This Row],[loan_applications.loan_amount]],0)</f>
        <v>9200</v>
      </c>
    </row>
    <row r="365" spans="1:27" x14ac:dyDescent="0.35">
      <c r="A365" t="s">
        <v>734</v>
      </c>
      <c r="B365" t="s">
        <v>735</v>
      </c>
      <c r="C365" s="1">
        <v>45299</v>
      </c>
      <c r="D365">
        <v>30</v>
      </c>
      <c r="E365" t="s">
        <v>113</v>
      </c>
      <c r="F365" t="s">
        <v>32</v>
      </c>
      <c r="G365" t="s">
        <v>33</v>
      </c>
      <c r="H365">
        <v>10</v>
      </c>
      <c r="I365" s="5">
        <v>67451</v>
      </c>
      <c r="J365" t="str" cm="1">
        <f t="array" ref="J36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65">
        <v>814</v>
      </c>
      <c r="L365" t="s">
        <v>27</v>
      </c>
      <c r="M365">
        <v>4</v>
      </c>
      <c r="N365">
        <v>2446</v>
      </c>
      <c r="O365" t="str" cm="1">
        <f t="array" ref="O36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5" t="s">
        <v>71</v>
      </c>
      <c r="Q365" s="5">
        <v>26800</v>
      </c>
      <c r="R365">
        <v>48</v>
      </c>
      <c r="S365">
        <v>7.81</v>
      </c>
      <c r="T365">
        <v>651.88</v>
      </c>
      <c r="U365">
        <v>55.1</v>
      </c>
      <c r="V365" t="str" cm="1">
        <f t="array" ref="V36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65" t="s">
        <v>21</v>
      </c>
      <c r="X365">
        <v>0</v>
      </c>
      <c r="Y365">
        <v>0</v>
      </c>
      <c r="Z365" s="5">
        <f>IF(Merge1[[#This Row],[loan_applications.defaulted]]=0,Merge1[[#This Row],[loan_applications.loan_amount]]*(Merge1[[#This Row],[loan_applications.interest_rate]]/100)*(Merge1[[#This Row],[loan_applications.term_months]]/12),0)</f>
        <v>8372.32</v>
      </c>
      <c r="AA365" s="5">
        <f>IF(Merge1[[#This Row],[loan_applications.defaulted]]=1,Merge1[[#This Row],[loan_applications.loan_amount]],0)</f>
        <v>0</v>
      </c>
    </row>
    <row r="366" spans="1:27" x14ac:dyDescent="0.35">
      <c r="A366" t="s">
        <v>736</v>
      </c>
      <c r="B366" t="s">
        <v>735</v>
      </c>
      <c r="C366" s="1">
        <v>45763</v>
      </c>
      <c r="D366">
        <v>30</v>
      </c>
      <c r="E366" t="s">
        <v>113</v>
      </c>
      <c r="F366" t="s">
        <v>32</v>
      </c>
      <c r="G366" t="s">
        <v>33</v>
      </c>
      <c r="H366">
        <v>10</v>
      </c>
      <c r="I366" s="5">
        <v>67451</v>
      </c>
      <c r="J366" t="str" cm="1">
        <f t="array" ref="J36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66">
        <v>814</v>
      </c>
      <c r="L366" t="s">
        <v>27</v>
      </c>
      <c r="M366">
        <v>4</v>
      </c>
      <c r="N366">
        <v>2446</v>
      </c>
      <c r="O366" t="str" cm="1">
        <f t="array" ref="O36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6" t="s">
        <v>71</v>
      </c>
      <c r="Q366" s="5">
        <v>27200</v>
      </c>
      <c r="R366">
        <v>60</v>
      </c>
      <c r="S366">
        <v>10.83</v>
      </c>
      <c r="T366">
        <v>589.09</v>
      </c>
      <c r="U366">
        <v>54</v>
      </c>
      <c r="V366" t="str" cm="1">
        <f t="array" ref="V36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66" t="s">
        <v>41</v>
      </c>
      <c r="X366">
        <v>0</v>
      </c>
      <c r="Y366">
        <v>0</v>
      </c>
      <c r="Z366" s="5">
        <f>IF(Merge1[[#This Row],[loan_applications.defaulted]]=0,Merge1[[#This Row],[loan_applications.loan_amount]]*(Merge1[[#This Row],[loan_applications.interest_rate]]/100)*(Merge1[[#This Row],[loan_applications.term_months]]/12),0)</f>
        <v>14728.800000000001</v>
      </c>
      <c r="AA366" s="5">
        <f>IF(Merge1[[#This Row],[loan_applications.defaulted]]=1,Merge1[[#This Row],[loan_applications.loan_amount]],0)</f>
        <v>0</v>
      </c>
    </row>
    <row r="367" spans="1:27" x14ac:dyDescent="0.35">
      <c r="A367" t="s">
        <v>737</v>
      </c>
      <c r="B367" t="s">
        <v>738</v>
      </c>
      <c r="C367" s="1">
        <v>45471</v>
      </c>
      <c r="D367">
        <v>23</v>
      </c>
      <c r="E367" t="s">
        <v>25</v>
      </c>
      <c r="F367" t="s">
        <v>32</v>
      </c>
      <c r="G367" t="s">
        <v>26</v>
      </c>
      <c r="H367">
        <v>3</v>
      </c>
      <c r="I367" s="5">
        <v>54364</v>
      </c>
      <c r="J367" t="str" cm="1">
        <f t="array" ref="J36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67">
        <v>560</v>
      </c>
      <c r="L367" t="s">
        <v>34</v>
      </c>
      <c r="M367">
        <v>2</v>
      </c>
      <c r="N367">
        <v>1964</v>
      </c>
      <c r="O367" t="str" cm="1">
        <f t="array" ref="O36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67" t="s">
        <v>20</v>
      </c>
      <c r="Q367" s="5">
        <v>33100</v>
      </c>
      <c r="R367">
        <v>36</v>
      </c>
      <c r="S367">
        <v>12.62</v>
      </c>
      <c r="T367">
        <v>1109.22</v>
      </c>
      <c r="U367">
        <v>67.8</v>
      </c>
      <c r="V367" t="str" cm="1">
        <f t="array" ref="V36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67" t="s">
        <v>24</v>
      </c>
      <c r="X367">
        <v>75</v>
      </c>
      <c r="Y367">
        <v>1</v>
      </c>
      <c r="Z36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67" s="5">
        <f>IF(Merge1[[#This Row],[loan_applications.defaulted]]=1,Merge1[[#This Row],[loan_applications.loan_amount]],0)</f>
        <v>33100</v>
      </c>
    </row>
    <row r="368" spans="1:27" x14ac:dyDescent="0.35">
      <c r="A368" t="s">
        <v>739</v>
      </c>
      <c r="B368" t="s">
        <v>740</v>
      </c>
      <c r="C368" s="1">
        <v>45389</v>
      </c>
      <c r="D368">
        <v>49</v>
      </c>
      <c r="E368" t="s">
        <v>383</v>
      </c>
      <c r="F368" t="s">
        <v>62</v>
      </c>
      <c r="G368" t="s">
        <v>26</v>
      </c>
      <c r="H368">
        <v>4</v>
      </c>
      <c r="I368" s="5">
        <v>100637</v>
      </c>
      <c r="J368" t="str" cm="1">
        <f t="array" ref="J36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68">
        <v>850</v>
      </c>
      <c r="L368" t="s">
        <v>34</v>
      </c>
      <c r="M368">
        <v>0</v>
      </c>
      <c r="N368">
        <v>4280</v>
      </c>
      <c r="O368" t="str" cm="1">
        <f t="array" ref="O36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8" t="s">
        <v>23</v>
      </c>
      <c r="Q368" s="5">
        <v>45700</v>
      </c>
      <c r="R368">
        <v>24</v>
      </c>
      <c r="S368">
        <v>9.33</v>
      </c>
      <c r="T368">
        <v>2094.7199999999998</v>
      </c>
      <c r="U368">
        <v>76</v>
      </c>
      <c r="V368" t="str" cm="1">
        <f t="array" ref="V36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68" t="s">
        <v>91</v>
      </c>
      <c r="X368">
        <v>15</v>
      </c>
      <c r="Y368">
        <v>0</v>
      </c>
      <c r="Z368" s="5">
        <f>IF(Merge1[[#This Row],[loan_applications.defaulted]]=0,Merge1[[#This Row],[loan_applications.loan_amount]]*(Merge1[[#This Row],[loan_applications.interest_rate]]/100)*(Merge1[[#This Row],[loan_applications.term_months]]/12),0)</f>
        <v>8527.619999999999</v>
      </c>
      <c r="AA368" s="5">
        <f>IF(Merge1[[#This Row],[loan_applications.defaulted]]=1,Merge1[[#This Row],[loan_applications.loan_amount]],0)</f>
        <v>0</v>
      </c>
    </row>
    <row r="369" spans="1:27" x14ac:dyDescent="0.35">
      <c r="A369" t="s">
        <v>741</v>
      </c>
      <c r="B369" t="s">
        <v>740</v>
      </c>
      <c r="C369" s="1">
        <v>45360</v>
      </c>
      <c r="D369">
        <v>49</v>
      </c>
      <c r="E369" t="s">
        <v>383</v>
      </c>
      <c r="F369" t="s">
        <v>62</v>
      </c>
      <c r="G369" t="s">
        <v>26</v>
      </c>
      <c r="H369">
        <v>4</v>
      </c>
      <c r="I369" s="5">
        <v>100637</v>
      </c>
      <c r="J369" t="str" cm="1">
        <f t="array" ref="J36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69">
        <v>850</v>
      </c>
      <c r="L369" t="s">
        <v>34</v>
      </c>
      <c r="M369">
        <v>0</v>
      </c>
      <c r="N369">
        <v>4280</v>
      </c>
      <c r="O369" t="str" cm="1">
        <f t="array" ref="O36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69" t="s">
        <v>50</v>
      </c>
      <c r="Q369" s="5">
        <v>32100</v>
      </c>
      <c r="R369">
        <v>36</v>
      </c>
      <c r="S369">
        <v>9.17</v>
      </c>
      <c r="T369">
        <v>1023.31</v>
      </c>
      <c r="U369">
        <v>63.2</v>
      </c>
      <c r="V369" t="str" cm="1">
        <f t="array" ref="V36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69" t="s">
        <v>41</v>
      </c>
      <c r="X369">
        <v>0</v>
      </c>
      <c r="Y369">
        <v>0</v>
      </c>
      <c r="Z369" s="5">
        <f>IF(Merge1[[#This Row],[loan_applications.defaulted]]=0,Merge1[[#This Row],[loan_applications.loan_amount]]*(Merge1[[#This Row],[loan_applications.interest_rate]]/100)*(Merge1[[#This Row],[loan_applications.term_months]]/12),0)</f>
        <v>8830.7100000000009</v>
      </c>
      <c r="AA369" s="5">
        <f>IF(Merge1[[#This Row],[loan_applications.defaulted]]=1,Merge1[[#This Row],[loan_applications.loan_amount]],0)</f>
        <v>0</v>
      </c>
    </row>
    <row r="370" spans="1:27" x14ac:dyDescent="0.35">
      <c r="A370" t="s">
        <v>742</v>
      </c>
      <c r="B370" t="s">
        <v>743</v>
      </c>
      <c r="C370" s="1">
        <v>45625</v>
      </c>
      <c r="D370">
        <v>31</v>
      </c>
      <c r="E370" t="s">
        <v>92</v>
      </c>
      <c r="F370" t="s">
        <v>32</v>
      </c>
      <c r="G370" t="s">
        <v>26</v>
      </c>
      <c r="H370">
        <v>1</v>
      </c>
      <c r="I370" s="5">
        <v>81067</v>
      </c>
      <c r="J370" t="str" cm="1">
        <f t="array" ref="J37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70">
        <v>850</v>
      </c>
      <c r="L370" t="s">
        <v>34</v>
      </c>
      <c r="M370">
        <v>2</v>
      </c>
      <c r="N370">
        <v>3196</v>
      </c>
      <c r="O370" t="str" cm="1">
        <f t="array" ref="O37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70" t="s">
        <v>30</v>
      </c>
      <c r="Q370" s="5">
        <v>14600</v>
      </c>
      <c r="R370">
        <v>12</v>
      </c>
      <c r="S370">
        <v>8.36</v>
      </c>
      <c r="T370">
        <v>1272.46</v>
      </c>
      <c r="U370">
        <v>66.099999999999994</v>
      </c>
      <c r="V370" t="str" cm="1">
        <f t="array" ref="V37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70" t="s">
        <v>41</v>
      </c>
      <c r="X370">
        <v>0</v>
      </c>
      <c r="Y370">
        <v>0</v>
      </c>
      <c r="Z370" s="5">
        <f>IF(Merge1[[#This Row],[loan_applications.defaulted]]=0,Merge1[[#This Row],[loan_applications.loan_amount]]*(Merge1[[#This Row],[loan_applications.interest_rate]]/100)*(Merge1[[#This Row],[loan_applications.term_months]]/12),0)</f>
        <v>1220.56</v>
      </c>
      <c r="AA370" s="5">
        <f>IF(Merge1[[#This Row],[loan_applications.defaulted]]=1,Merge1[[#This Row],[loan_applications.loan_amount]],0)</f>
        <v>0</v>
      </c>
    </row>
    <row r="371" spans="1:27" x14ac:dyDescent="0.35">
      <c r="A371" t="s">
        <v>744</v>
      </c>
      <c r="B371" t="s">
        <v>745</v>
      </c>
      <c r="C371" s="1">
        <v>45700</v>
      </c>
      <c r="D371">
        <v>25</v>
      </c>
      <c r="E371" t="s">
        <v>125</v>
      </c>
      <c r="F371" t="s">
        <v>68</v>
      </c>
      <c r="G371" t="s">
        <v>75</v>
      </c>
      <c r="H371">
        <v>4</v>
      </c>
      <c r="I371" s="5">
        <v>20854</v>
      </c>
      <c r="J371" t="str" cm="1">
        <f t="array" ref="J37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71">
        <v>838</v>
      </c>
      <c r="L371" t="s">
        <v>27</v>
      </c>
      <c r="M371">
        <v>2</v>
      </c>
      <c r="N371">
        <v>730</v>
      </c>
      <c r="O371" t="str" cm="1">
        <f t="array" ref="O37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71" t="s">
        <v>60</v>
      </c>
      <c r="Q371" s="5">
        <v>6200</v>
      </c>
      <c r="R371">
        <v>48</v>
      </c>
      <c r="S371">
        <v>7.94</v>
      </c>
      <c r="T371">
        <v>151.19</v>
      </c>
      <c r="U371">
        <v>50.7</v>
      </c>
      <c r="V371" t="str" cm="1">
        <f t="array" ref="V37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71" t="s">
        <v>41</v>
      </c>
      <c r="X371">
        <v>0</v>
      </c>
      <c r="Y371">
        <v>0</v>
      </c>
      <c r="Z371" s="5">
        <f>IF(Merge1[[#This Row],[loan_applications.defaulted]]=0,Merge1[[#This Row],[loan_applications.loan_amount]]*(Merge1[[#This Row],[loan_applications.interest_rate]]/100)*(Merge1[[#This Row],[loan_applications.term_months]]/12),0)</f>
        <v>1969.12</v>
      </c>
      <c r="AA371" s="5">
        <f>IF(Merge1[[#This Row],[loan_applications.defaulted]]=1,Merge1[[#This Row],[loan_applications.loan_amount]],0)</f>
        <v>0</v>
      </c>
    </row>
    <row r="372" spans="1:27" x14ac:dyDescent="0.35">
      <c r="A372" t="s">
        <v>746</v>
      </c>
      <c r="B372" t="s">
        <v>747</v>
      </c>
      <c r="C372" s="1">
        <v>45376</v>
      </c>
      <c r="D372">
        <v>29</v>
      </c>
      <c r="E372" t="s">
        <v>57</v>
      </c>
      <c r="F372" t="s">
        <v>15</v>
      </c>
      <c r="G372" t="s">
        <v>26</v>
      </c>
      <c r="H372">
        <v>5</v>
      </c>
      <c r="I372" s="5">
        <v>22799</v>
      </c>
      <c r="J372" t="str" cm="1">
        <f t="array" ref="J37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72">
        <v>779</v>
      </c>
      <c r="L372" t="s">
        <v>34</v>
      </c>
      <c r="M372">
        <v>3</v>
      </c>
      <c r="N372">
        <v>341</v>
      </c>
      <c r="O372" t="str" cm="1">
        <f t="array" ref="O37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72" t="s">
        <v>50</v>
      </c>
      <c r="Q372" s="5">
        <v>12300</v>
      </c>
      <c r="R372">
        <v>48</v>
      </c>
      <c r="S372">
        <v>9.32</v>
      </c>
      <c r="T372">
        <v>307.95999999999998</v>
      </c>
      <c r="U372">
        <v>34.200000000000003</v>
      </c>
      <c r="V372" t="str" cm="1">
        <f t="array" ref="V37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72" t="s">
        <v>21</v>
      </c>
      <c r="X372">
        <v>0</v>
      </c>
      <c r="Y372">
        <v>0</v>
      </c>
      <c r="Z372" s="5">
        <f>IF(Merge1[[#This Row],[loan_applications.defaulted]]=0,Merge1[[#This Row],[loan_applications.loan_amount]]*(Merge1[[#This Row],[loan_applications.interest_rate]]/100)*(Merge1[[#This Row],[loan_applications.term_months]]/12),0)</f>
        <v>4585.4400000000005</v>
      </c>
      <c r="AA372" s="5">
        <f>IF(Merge1[[#This Row],[loan_applications.defaulted]]=1,Merge1[[#This Row],[loan_applications.loan_amount]],0)</f>
        <v>0</v>
      </c>
    </row>
    <row r="373" spans="1:27" x14ac:dyDescent="0.35">
      <c r="A373" t="s">
        <v>748</v>
      </c>
      <c r="B373" t="s">
        <v>749</v>
      </c>
      <c r="C373" s="1">
        <v>45473</v>
      </c>
      <c r="D373">
        <v>45</v>
      </c>
      <c r="E373" t="s">
        <v>118</v>
      </c>
      <c r="F373" t="s">
        <v>15</v>
      </c>
      <c r="G373" t="s">
        <v>16</v>
      </c>
      <c r="H373">
        <v>24</v>
      </c>
      <c r="I373" s="5">
        <v>31860</v>
      </c>
      <c r="J373" t="str" cm="1">
        <f t="array" ref="J37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73">
        <v>585</v>
      </c>
      <c r="L373" t="s">
        <v>17</v>
      </c>
      <c r="M373">
        <v>3</v>
      </c>
      <c r="N373">
        <v>493</v>
      </c>
      <c r="O373" t="str" cm="1">
        <f t="array" ref="O37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73" t="s">
        <v>37</v>
      </c>
      <c r="Q373" s="5">
        <v>8800</v>
      </c>
      <c r="R373">
        <v>12</v>
      </c>
      <c r="S373">
        <v>13.28</v>
      </c>
      <c r="T373">
        <v>787.15</v>
      </c>
      <c r="U373">
        <v>48.2</v>
      </c>
      <c r="V373" t="str" cm="1">
        <f t="array" ref="V37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73" t="s">
        <v>24</v>
      </c>
      <c r="X373">
        <v>166</v>
      </c>
      <c r="Y373">
        <v>1</v>
      </c>
      <c r="Z37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73" s="5">
        <f>IF(Merge1[[#This Row],[loan_applications.defaulted]]=1,Merge1[[#This Row],[loan_applications.loan_amount]],0)</f>
        <v>8800</v>
      </c>
    </row>
    <row r="374" spans="1:27" x14ac:dyDescent="0.35">
      <c r="A374" t="s">
        <v>750</v>
      </c>
      <c r="B374" t="s">
        <v>751</v>
      </c>
      <c r="C374" s="1">
        <v>45658</v>
      </c>
      <c r="D374">
        <v>26</v>
      </c>
      <c r="E374" t="s">
        <v>38</v>
      </c>
      <c r="F374" t="s">
        <v>68</v>
      </c>
      <c r="G374" t="s">
        <v>75</v>
      </c>
      <c r="H374">
        <v>3</v>
      </c>
      <c r="I374" s="5">
        <v>35035</v>
      </c>
      <c r="J374" t="str" cm="1">
        <f t="array" ref="J37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74">
        <v>779</v>
      </c>
      <c r="L374" t="s">
        <v>34</v>
      </c>
      <c r="M374">
        <v>1</v>
      </c>
      <c r="N374">
        <v>973</v>
      </c>
      <c r="O374" t="str" cm="1">
        <f t="array" ref="O37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74" t="s">
        <v>50</v>
      </c>
      <c r="Q374" s="5">
        <v>11000</v>
      </c>
      <c r="R374">
        <v>36</v>
      </c>
      <c r="S374">
        <v>7.78</v>
      </c>
      <c r="T374">
        <v>343.58</v>
      </c>
      <c r="U374">
        <v>45.1</v>
      </c>
      <c r="V374" t="str" cm="1">
        <f t="array" ref="V37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74" t="s">
        <v>21</v>
      </c>
      <c r="X374">
        <v>0</v>
      </c>
      <c r="Y374">
        <v>0</v>
      </c>
      <c r="Z374" s="5">
        <f>IF(Merge1[[#This Row],[loan_applications.defaulted]]=0,Merge1[[#This Row],[loan_applications.loan_amount]]*(Merge1[[#This Row],[loan_applications.interest_rate]]/100)*(Merge1[[#This Row],[loan_applications.term_months]]/12),0)</f>
        <v>2567.4</v>
      </c>
      <c r="AA374" s="5">
        <f>IF(Merge1[[#This Row],[loan_applications.defaulted]]=1,Merge1[[#This Row],[loan_applications.loan_amount]],0)</f>
        <v>0</v>
      </c>
    </row>
    <row r="375" spans="1:27" x14ac:dyDescent="0.35">
      <c r="A375" t="s">
        <v>752</v>
      </c>
      <c r="B375" t="s">
        <v>753</v>
      </c>
      <c r="C375" s="1">
        <v>45397</v>
      </c>
      <c r="D375">
        <v>45</v>
      </c>
      <c r="E375" t="s">
        <v>86</v>
      </c>
      <c r="F375" t="s">
        <v>15</v>
      </c>
      <c r="G375" t="s">
        <v>16</v>
      </c>
      <c r="H375">
        <v>7</v>
      </c>
      <c r="I375" s="5">
        <v>53878</v>
      </c>
      <c r="J375" t="str" cm="1">
        <f t="array" ref="J37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75">
        <v>589</v>
      </c>
      <c r="L375" t="s">
        <v>17</v>
      </c>
      <c r="M375">
        <v>0</v>
      </c>
      <c r="N375">
        <v>2161</v>
      </c>
      <c r="O375" t="str" cm="1">
        <f t="array" ref="O37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75" t="s">
        <v>20</v>
      </c>
      <c r="Q375" s="5">
        <v>42200</v>
      </c>
      <c r="R375">
        <v>60</v>
      </c>
      <c r="S375">
        <v>13.39</v>
      </c>
      <c r="T375">
        <v>968.63</v>
      </c>
      <c r="U375">
        <v>69.7</v>
      </c>
      <c r="V375" t="str" cm="1">
        <f t="array" ref="V37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75" t="s">
        <v>24</v>
      </c>
      <c r="X375">
        <v>108</v>
      </c>
      <c r="Y375">
        <v>1</v>
      </c>
      <c r="Z37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75" s="5">
        <f>IF(Merge1[[#This Row],[loan_applications.defaulted]]=1,Merge1[[#This Row],[loan_applications.loan_amount]],0)</f>
        <v>42200</v>
      </c>
    </row>
    <row r="376" spans="1:27" x14ac:dyDescent="0.35">
      <c r="A376" t="s">
        <v>754</v>
      </c>
      <c r="B376" t="s">
        <v>755</v>
      </c>
      <c r="C376" s="1">
        <v>45675</v>
      </c>
      <c r="D376">
        <v>37</v>
      </c>
      <c r="E376" t="s">
        <v>61</v>
      </c>
      <c r="F376" t="s">
        <v>15</v>
      </c>
      <c r="G376" t="s">
        <v>26</v>
      </c>
      <c r="H376">
        <v>1</v>
      </c>
      <c r="I376" s="5">
        <v>54791</v>
      </c>
      <c r="J376" t="str" cm="1">
        <f t="array" ref="J37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76">
        <v>621</v>
      </c>
      <c r="L376" t="s">
        <v>34</v>
      </c>
      <c r="M376">
        <v>2</v>
      </c>
      <c r="N376">
        <v>1725</v>
      </c>
      <c r="O376" t="str" cm="1">
        <f t="array" ref="O37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76" t="s">
        <v>71</v>
      </c>
      <c r="Q376" s="5">
        <v>13400</v>
      </c>
      <c r="R376">
        <v>24</v>
      </c>
      <c r="S376">
        <v>14.29</v>
      </c>
      <c r="T376">
        <v>645.21</v>
      </c>
      <c r="U376">
        <v>51.9</v>
      </c>
      <c r="V376" t="str" cm="1">
        <f t="array" ref="V37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76" t="s">
        <v>41</v>
      </c>
      <c r="X376">
        <v>0</v>
      </c>
      <c r="Y376">
        <v>0</v>
      </c>
      <c r="Z376" s="5">
        <f>IF(Merge1[[#This Row],[loan_applications.defaulted]]=0,Merge1[[#This Row],[loan_applications.loan_amount]]*(Merge1[[#This Row],[loan_applications.interest_rate]]/100)*(Merge1[[#This Row],[loan_applications.term_months]]/12),0)</f>
        <v>3829.72</v>
      </c>
      <c r="AA376" s="5">
        <f>IF(Merge1[[#This Row],[loan_applications.defaulted]]=1,Merge1[[#This Row],[loan_applications.loan_amount]],0)</f>
        <v>0</v>
      </c>
    </row>
    <row r="377" spans="1:27" x14ac:dyDescent="0.35">
      <c r="A377" t="s">
        <v>756</v>
      </c>
      <c r="B377" t="s">
        <v>757</v>
      </c>
      <c r="C377" s="1">
        <v>45390</v>
      </c>
      <c r="D377">
        <v>36</v>
      </c>
      <c r="E377" t="s">
        <v>74</v>
      </c>
      <c r="F377" t="s">
        <v>68</v>
      </c>
      <c r="G377" t="s">
        <v>26</v>
      </c>
      <c r="H377">
        <v>2</v>
      </c>
      <c r="I377" s="5">
        <v>62677</v>
      </c>
      <c r="J377" t="str" cm="1">
        <f t="array" ref="J37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77">
        <v>673</v>
      </c>
      <c r="L377" t="s">
        <v>34</v>
      </c>
      <c r="M377">
        <v>1</v>
      </c>
      <c r="N377">
        <v>2616</v>
      </c>
      <c r="O377" t="str" cm="1">
        <f t="array" ref="O37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77" t="s">
        <v>60</v>
      </c>
      <c r="Q377" s="5">
        <v>10100</v>
      </c>
      <c r="R377">
        <v>12</v>
      </c>
      <c r="S377">
        <v>9.89</v>
      </c>
      <c r="T377">
        <v>887.43</v>
      </c>
      <c r="U377">
        <v>67.099999999999994</v>
      </c>
      <c r="V377" t="str" cm="1">
        <f t="array" ref="V37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77" t="s">
        <v>41</v>
      </c>
      <c r="X377">
        <v>0</v>
      </c>
      <c r="Y377">
        <v>0</v>
      </c>
      <c r="Z377" s="5">
        <f>IF(Merge1[[#This Row],[loan_applications.defaulted]]=0,Merge1[[#This Row],[loan_applications.loan_amount]]*(Merge1[[#This Row],[loan_applications.interest_rate]]/100)*(Merge1[[#This Row],[loan_applications.term_months]]/12),0)</f>
        <v>998.89</v>
      </c>
      <c r="AA377" s="5">
        <f>IF(Merge1[[#This Row],[loan_applications.defaulted]]=1,Merge1[[#This Row],[loan_applications.loan_amount]],0)</f>
        <v>0</v>
      </c>
    </row>
    <row r="378" spans="1:27" x14ac:dyDescent="0.35">
      <c r="A378" t="s">
        <v>758</v>
      </c>
      <c r="B378" t="s">
        <v>759</v>
      </c>
      <c r="C378" s="1">
        <v>45486</v>
      </c>
      <c r="D378">
        <v>33</v>
      </c>
      <c r="E378" t="s">
        <v>330</v>
      </c>
      <c r="F378" t="s">
        <v>68</v>
      </c>
      <c r="G378" t="s">
        <v>26</v>
      </c>
      <c r="H378">
        <v>1</v>
      </c>
      <c r="I378" s="5">
        <v>31521</v>
      </c>
      <c r="J378" t="str" cm="1">
        <f t="array" ref="J37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78">
        <v>730</v>
      </c>
      <c r="L378" t="s">
        <v>17</v>
      </c>
      <c r="M378">
        <v>0</v>
      </c>
      <c r="N378">
        <v>1240</v>
      </c>
      <c r="O378" t="str" cm="1">
        <f t="array" ref="O37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78" t="s">
        <v>23</v>
      </c>
      <c r="Q378" s="5">
        <v>23900</v>
      </c>
      <c r="R378">
        <v>36</v>
      </c>
      <c r="S378">
        <v>10.64</v>
      </c>
      <c r="T378">
        <v>778.39</v>
      </c>
      <c r="U378">
        <v>76.8</v>
      </c>
      <c r="V378" t="str" cm="1">
        <f t="array" ref="V37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78" t="s">
        <v>91</v>
      </c>
      <c r="X378">
        <v>15</v>
      </c>
      <c r="Y378">
        <v>0</v>
      </c>
      <c r="Z378" s="5">
        <f>IF(Merge1[[#This Row],[loan_applications.defaulted]]=0,Merge1[[#This Row],[loan_applications.loan_amount]]*(Merge1[[#This Row],[loan_applications.interest_rate]]/100)*(Merge1[[#This Row],[loan_applications.term_months]]/12),0)</f>
        <v>7628.88</v>
      </c>
      <c r="AA378" s="5">
        <f>IF(Merge1[[#This Row],[loan_applications.defaulted]]=1,Merge1[[#This Row],[loan_applications.loan_amount]],0)</f>
        <v>0</v>
      </c>
    </row>
    <row r="379" spans="1:27" x14ac:dyDescent="0.35">
      <c r="A379" t="s">
        <v>760</v>
      </c>
      <c r="B379" t="s">
        <v>761</v>
      </c>
      <c r="C379" s="1">
        <v>45615</v>
      </c>
      <c r="D379">
        <v>42</v>
      </c>
      <c r="E379" t="s">
        <v>79</v>
      </c>
      <c r="F379" t="s">
        <v>15</v>
      </c>
      <c r="G379" t="s">
        <v>26</v>
      </c>
      <c r="H379">
        <v>18</v>
      </c>
      <c r="I379" s="5">
        <v>35385</v>
      </c>
      <c r="J379" t="str" cm="1">
        <f t="array" ref="J37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79">
        <v>674</v>
      </c>
      <c r="L379" t="s">
        <v>17</v>
      </c>
      <c r="M379">
        <v>2</v>
      </c>
      <c r="N379">
        <v>831</v>
      </c>
      <c r="O379" t="str" cm="1">
        <f t="array" ref="O37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79" t="s">
        <v>56</v>
      </c>
      <c r="Q379" s="5">
        <v>8300</v>
      </c>
      <c r="R379">
        <v>24</v>
      </c>
      <c r="S379">
        <v>8.84</v>
      </c>
      <c r="T379">
        <v>378.57</v>
      </c>
      <c r="U379">
        <v>41</v>
      </c>
      <c r="V379" t="str" cm="1">
        <f t="array" ref="V37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79" t="s">
        <v>24</v>
      </c>
      <c r="X379">
        <v>84</v>
      </c>
      <c r="Y379">
        <v>1</v>
      </c>
      <c r="Z37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79" s="5">
        <f>IF(Merge1[[#This Row],[loan_applications.defaulted]]=1,Merge1[[#This Row],[loan_applications.loan_amount]],0)</f>
        <v>8300</v>
      </c>
    </row>
    <row r="380" spans="1:27" x14ac:dyDescent="0.35">
      <c r="A380" t="s">
        <v>762</v>
      </c>
      <c r="B380" t="s">
        <v>763</v>
      </c>
      <c r="C380" s="1">
        <v>45360</v>
      </c>
      <c r="D380">
        <v>59</v>
      </c>
      <c r="E380" t="s">
        <v>61</v>
      </c>
      <c r="F380" t="s">
        <v>47</v>
      </c>
      <c r="G380" t="s">
        <v>75</v>
      </c>
      <c r="H380">
        <v>15</v>
      </c>
      <c r="I380" s="5">
        <v>88548</v>
      </c>
      <c r="J380" t="str" cm="1">
        <f t="array" ref="J38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80">
        <v>819</v>
      </c>
      <c r="L380" t="s">
        <v>27</v>
      </c>
      <c r="M380">
        <v>1</v>
      </c>
      <c r="N380">
        <v>1228</v>
      </c>
      <c r="O380" t="str" cm="1">
        <f t="array" ref="O38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80" t="s">
        <v>54</v>
      </c>
      <c r="Q380" s="5">
        <v>15400</v>
      </c>
      <c r="R380">
        <v>60</v>
      </c>
      <c r="S380">
        <v>8.19</v>
      </c>
      <c r="T380">
        <v>313.66000000000003</v>
      </c>
      <c r="U380">
        <v>20.9</v>
      </c>
      <c r="V380" t="str" cm="1">
        <f t="array" ref="V38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80" t="s">
        <v>21</v>
      </c>
      <c r="X380">
        <v>0</v>
      </c>
      <c r="Y380">
        <v>0</v>
      </c>
      <c r="Z380" s="5">
        <f>IF(Merge1[[#This Row],[loan_applications.defaulted]]=0,Merge1[[#This Row],[loan_applications.loan_amount]]*(Merge1[[#This Row],[loan_applications.interest_rate]]/100)*(Merge1[[#This Row],[loan_applications.term_months]]/12),0)</f>
        <v>6306.3</v>
      </c>
      <c r="AA380" s="5">
        <f>IF(Merge1[[#This Row],[loan_applications.defaulted]]=1,Merge1[[#This Row],[loan_applications.loan_amount]],0)</f>
        <v>0</v>
      </c>
    </row>
    <row r="381" spans="1:27" x14ac:dyDescent="0.35">
      <c r="A381" t="s">
        <v>764</v>
      </c>
      <c r="B381" t="s">
        <v>765</v>
      </c>
      <c r="C381" s="1">
        <v>45389</v>
      </c>
      <c r="D381">
        <v>44</v>
      </c>
      <c r="E381" t="s">
        <v>67</v>
      </c>
      <c r="F381" t="s">
        <v>32</v>
      </c>
      <c r="G381" t="s">
        <v>16</v>
      </c>
      <c r="H381">
        <v>0</v>
      </c>
      <c r="I381" s="5">
        <v>41212</v>
      </c>
      <c r="J381" t="str" cm="1">
        <f t="array" ref="J38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81">
        <v>701</v>
      </c>
      <c r="L381" t="s">
        <v>17</v>
      </c>
      <c r="M381">
        <v>3</v>
      </c>
      <c r="N381">
        <v>1420</v>
      </c>
      <c r="O381" t="str" cm="1">
        <f t="array" ref="O38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81" t="s">
        <v>54</v>
      </c>
      <c r="Q381" s="5">
        <v>38100</v>
      </c>
      <c r="R381">
        <v>60</v>
      </c>
      <c r="S381">
        <v>9.17</v>
      </c>
      <c r="T381">
        <v>794.04</v>
      </c>
      <c r="U381">
        <v>64.5</v>
      </c>
      <c r="V381" t="str" cm="1">
        <f t="array" ref="V38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81" t="s">
        <v>91</v>
      </c>
      <c r="X381">
        <v>30</v>
      </c>
      <c r="Y381">
        <v>0</v>
      </c>
      <c r="Z381" s="5">
        <f>IF(Merge1[[#This Row],[loan_applications.defaulted]]=0,Merge1[[#This Row],[loan_applications.loan_amount]]*(Merge1[[#This Row],[loan_applications.interest_rate]]/100)*(Merge1[[#This Row],[loan_applications.term_months]]/12),0)</f>
        <v>17468.849999999999</v>
      </c>
      <c r="AA381" s="5">
        <f>IF(Merge1[[#This Row],[loan_applications.defaulted]]=1,Merge1[[#This Row],[loan_applications.loan_amount]],0)</f>
        <v>0</v>
      </c>
    </row>
    <row r="382" spans="1:27" x14ac:dyDescent="0.35">
      <c r="A382" t="s">
        <v>766</v>
      </c>
      <c r="B382" t="s">
        <v>767</v>
      </c>
      <c r="C382" s="1">
        <v>45785</v>
      </c>
      <c r="D382">
        <v>28</v>
      </c>
      <c r="E382" t="s">
        <v>42</v>
      </c>
      <c r="F382" t="s">
        <v>68</v>
      </c>
      <c r="G382" t="s">
        <v>75</v>
      </c>
      <c r="H382">
        <v>2</v>
      </c>
      <c r="I382" s="5">
        <v>29277</v>
      </c>
      <c r="J382" t="str" cm="1">
        <f t="array" ref="J38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82">
        <v>555</v>
      </c>
      <c r="L382" t="s">
        <v>17</v>
      </c>
      <c r="M382">
        <v>0</v>
      </c>
      <c r="N382">
        <v>404</v>
      </c>
      <c r="O382" t="str" cm="1">
        <f t="array" ref="O38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82" t="s">
        <v>50</v>
      </c>
      <c r="Q382" s="5">
        <v>13700</v>
      </c>
      <c r="R382">
        <v>36</v>
      </c>
      <c r="S382">
        <v>15.64</v>
      </c>
      <c r="T382">
        <v>479.22</v>
      </c>
      <c r="U382">
        <v>36.200000000000003</v>
      </c>
      <c r="V382" t="str" cm="1">
        <f t="array" ref="V38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82" t="s">
        <v>24</v>
      </c>
      <c r="X382">
        <v>34</v>
      </c>
      <c r="Y382">
        <v>1</v>
      </c>
      <c r="Z38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82" s="5">
        <f>IF(Merge1[[#This Row],[loan_applications.defaulted]]=1,Merge1[[#This Row],[loan_applications.loan_amount]],0)</f>
        <v>13700</v>
      </c>
    </row>
    <row r="383" spans="1:27" x14ac:dyDescent="0.35">
      <c r="A383" t="s">
        <v>768</v>
      </c>
      <c r="B383" t="s">
        <v>769</v>
      </c>
      <c r="C383" s="1">
        <v>45305</v>
      </c>
      <c r="D383">
        <v>55</v>
      </c>
      <c r="E383" t="s">
        <v>25</v>
      </c>
      <c r="F383" t="s">
        <v>32</v>
      </c>
      <c r="G383" t="s">
        <v>33</v>
      </c>
      <c r="H383">
        <v>6</v>
      </c>
      <c r="I383" s="5">
        <v>69849</v>
      </c>
      <c r="J383" t="str" cm="1">
        <f t="array" ref="J38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83">
        <v>578</v>
      </c>
      <c r="L383" t="s">
        <v>34</v>
      </c>
      <c r="M383">
        <v>3</v>
      </c>
      <c r="N383">
        <v>508</v>
      </c>
      <c r="O383" t="str" cm="1">
        <f t="array" ref="O38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83" t="s">
        <v>71</v>
      </c>
      <c r="Q383" s="5">
        <v>26500</v>
      </c>
      <c r="R383">
        <v>24</v>
      </c>
      <c r="S383">
        <v>12.88</v>
      </c>
      <c r="T383">
        <v>1258.3699999999999</v>
      </c>
      <c r="U383">
        <v>30.3</v>
      </c>
      <c r="V383" t="str" cm="1">
        <f t="array" ref="V38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83" t="s">
        <v>24</v>
      </c>
      <c r="X383">
        <v>61</v>
      </c>
      <c r="Y383">
        <v>1</v>
      </c>
      <c r="Z38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83" s="5">
        <f>IF(Merge1[[#This Row],[loan_applications.defaulted]]=1,Merge1[[#This Row],[loan_applications.loan_amount]],0)</f>
        <v>26500</v>
      </c>
    </row>
    <row r="384" spans="1:27" x14ac:dyDescent="0.35">
      <c r="A384" t="s">
        <v>770</v>
      </c>
      <c r="B384" t="s">
        <v>771</v>
      </c>
      <c r="C384" s="1">
        <v>45802</v>
      </c>
      <c r="D384">
        <v>58</v>
      </c>
      <c r="E384" t="s">
        <v>61</v>
      </c>
      <c r="F384" t="s">
        <v>15</v>
      </c>
      <c r="G384" t="s">
        <v>16</v>
      </c>
      <c r="H384">
        <v>16</v>
      </c>
      <c r="I384" s="5">
        <v>27000</v>
      </c>
      <c r="J384" t="str" cm="1">
        <f t="array" ref="J38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84">
        <v>674</v>
      </c>
      <c r="L384" t="s">
        <v>17</v>
      </c>
      <c r="M384">
        <v>3</v>
      </c>
      <c r="N384">
        <v>900</v>
      </c>
      <c r="O384" t="str" cm="1">
        <f t="array" ref="O38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84" t="s">
        <v>23</v>
      </c>
      <c r="Q384" s="5">
        <v>21000</v>
      </c>
      <c r="R384">
        <v>12</v>
      </c>
      <c r="S384">
        <v>9.4499999999999993</v>
      </c>
      <c r="T384">
        <v>1840.87</v>
      </c>
      <c r="U384">
        <v>121.8</v>
      </c>
      <c r="V384" t="str" cm="1">
        <f t="array" ref="V38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84" t="s">
        <v>41</v>
      </c>
      <c r="X384">
        <v>0</v>
      </c>
      <c r="Y384">
        <v>0</v>
      </c>
      <c r="Z384" s="5">
        <f>IF(Merge1[[#This Row],[loan_applications.defaulted]]=0,Merge1[[#This Row],[loan_applications.loan_amount]]*(Merge1[[#This Row],[loan_applications.interest_rate]]/100)*(Merge1[[#This Row],[loan_applications.term_months]]/12),0)</f>
        <v>1984.4999999999998</v>
      </c>
      <c r="AA384" s="5">
        <f>IF(Merge1[[#This Row],[loan_applications.defaulted]]=1,Merge1[[#This Row],[loan_applications.loan_amount]],0)</f>
        <v>0</v>
      </c>
    </row>
    <row r="385" spans="1:27" x14ac:dyDescent="0.35">
      <c r="A385" t="s">
        <v>772</v>
      </c>
      <c r="B385" t="s">
        <v>773</v>
      </c>
      <c r="C385" s="1">
        <v>45617</v>
      </c>
      <c r="D385">
        <v>42</v>
      </c>
      <c r="E385" t="s">
        <v>157</v>
      </c>
      <c r="F385" t="s">
        <v>68</v>
      </c>
      <c r="G385" t="s">
        <v>26</v>
      </c>
      <c r="H385">
        <v>4</v>
      </c>
      <c r="I385" s="5">
        <v>32850</v>
      </c>
      <c r="J385" t="str" cm="1">
        <f t="array" ref="J38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85">
        <v>628</v>
      </c>
      <c r="L385" t="s">
        <v>17</v>
      </c>
      <c r="M385">
        <v>0</v>
      </c>
      <c r="N385">
        <v>281</v>
      </c>
      <c r="O385" t="str" cm="1">
        <f t="array" ref="O38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85" t="s">
        <v>71</v>
      </c>
      <c r="Q385" s="5">
        <v>22800</v>
      </c>
      <c r="R385">
        <v>36</v>
      </c>
      <c r="S385">
        <v>10.199999999999999</v>
      </c>
      <c r="T385">
        <v>737.83</v>
      </c>
      <c r="U385">
        <v>37.200000000000003</v>
      </c>
      <c r="V385" t="str" cm="1">
        <f t="array" ref="V38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85" t="s">
        <v>41</v>
      </c>
      <c r="X385">
        <v>0</v>
      </c>
      <c r="Y385">
        <v>0</v>
      </c>
      <c r="Z385" s="5">
        <f>IF(Merge1[[#This Row],[loan_applications.defaulted]]=0,Merge1[[#This Row],[loan_applications.loan_amount]]*(Merge1[[#This Row],[loan_applications.interest_rate]]/100)*(Merge1[[#This Row],[loan_applications.term_months]]/12),0)</f>
        <v>6976.7999999999993</v>
      </c>
      <c r="AA385" s="5">
        <f>IF(Merge1[[#This Row],[loan_applications.defaulted]]=1,Merge1[[#This Row],[loan_applications.loan_amount]],0)</f>
        <v>0</v>
      </c>
    </row>
    <row r="386" spans="1:27" x14ac:dyDescent="0.35">
      <c r="A386" t="s">
        <v>774</v>
      </c>
      <c r="B386" t="s">
        <v>775</v>
      </c>
      <c r="C386" s="1">
        <v>45502</v>
      </c>
      <c r="D386">
        <v>50</v>
      </c>
      <c r="E386" t="s">
        <v>31</v>
      </c>
      <c r="F386" t="s">
        <v>32</v>
      </c>
      <c r="G386" t="s">
        <v>26</v>
      </c>
      <c r="H386">
        <v>14</v>
      </c>
      <c r="I386" s="5">
        <v>74791</v>
      </c>
      <c r="J386" t="str" cm="1">
        <f t="array" ref="J38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86">
        <v>641</v>
      </c>
      <c r="L386" t="s">
        <v>34</v>
      </c>
      <c r="M386">
        <v>3</v>
      </c>
      <c r="N386">
        <v>593</v>
      </c>
      <c r="O386" t="str" cm="1">
        <f t="array" ref="O38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86" t="s">
        <v>37</v>
      </c>
      <c r="Q386" s="5">
        <v>13000</v>
      </c>
      <c r="R386">
        <v>36</v>
      </c>
      <c r="S386">
        <v>11.03</v>
      </c>
      <c r="T386">
        <v>425.79</v>
      </c>
      <c r="U386">
        <v>16.3</v>
      </c>
      <c r="V386" t="str" cm="1">
        <f t="array" ref="V38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386" t="s">
        <v>91</v>
      </c>
      <c r="X386">
        <v>15</v>
      </c>
      <c r="Y386">
        <v>0</v>
      </c>
      <c r="Z386" s="5">
        <f>IF(Merge1[[#This Row],[loan_applications.defaulted]]=0,Merge1[[#This Row],[loan_applications.loan_amount]]*(Merge1[[#This Row],[loan_applications.interest_rate]]/100)*(Merge1[[#This Row],[loan_applications.term_months]]/12),0)</f>
        <v>4301.7</v>
      </c>
      <c r="AA386" s="5">
        <f>IF(Merge1[[#This Row],[loan_applications.defaulted]]=1,Merge1[[#This Row],[loan_applications.loan_amount]],0)</f>
        <v>0</v>
      </c>
    </row>
    <row r="387" spans="1:27" x14ac:dyDescent="0.35">
      <c r="A387" t="s">
        <v>776</v>
      </c>
      <c r="B387" t="s">
        <v>775</v>
      </c>
      <c r="C387" s="1">
        <v>45682</v>
      </c>
      <c r="D387">
        <v>50</v>
      </c>
      <c r="E387" t="s">
        <v>31</v>
      </c>
      <c r="F387" t="s">
        <v>32</v>
      </c>
      <c r="G387" t="s">
        <v>26</v>
      </c>
      <c r="H387">
        <v>14</v>
      </c>
      <c r="I387" s="5">
        <v>74791</v>
      </c>
      <c r="J387" t="str" cm="1">
        <f t="array" ref="J38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87">
        <v>641</v>
      </c>
      <c r="L387" t="s">
        <v>34</v>
      </c>
      <c r="M387">
        <v>3</v>
      </c>
      <c r="N387">
        <v>593</v>
      </c>
      <c r="O387" t="str" cm="1">
        <f t="array" ref="O38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87" t="s">
        <v>56</v>
      </c>
      <c r="Q387" s="5">
        <v>35400</v>
      </c>
      <c r="R387">
        <v>24</v>
      </c>
      <c r="S387">
        <v>12.36</v>
      </c>
      <c r="T387">
        <v>1672.36</v>
      </c>
      <c r="U387">
        <v>36.299999999999997</v>
      </c>
      <c r="V387" t="str" cm="1">
        <f t="array" ref="V38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87" t="s">
        <v>91</v>
      </c>
      <c r="X387">
        <v>0</v>
      </c>
      <c r="Y387">
        <v>0</v>
      </c>
      <c r="Z387" s="5">
        <f>IF(Merge1[[#This Row],[loan_applications.defaulted]]=0,Merge1[[#This Row],[loan_applications.loan_amount]]*(Merge1[[#This Row],[loan_applications.interest_rate]]/100)*(Merge1[[#This Row],[loan_applications.term_months]]/12),0)</f>
        <v>8750.8799999999992</v>
      </c>
      <c r="AA387" s="5">
        <f>IF(Merge1[[#This Row],[loan_applications.defaulted]]=1,Merge1[[#This Row],[loan_applications.loan_amount]],0)</f>
        <v>0</v>
      </c>
    </row>
    <row r="388" spans="1:27" x14ac:dyDescent="0.35">
      <c r="A388" t="s">
        <v>777</v>
      </c>
      <c r="B388" t="s">
        <v>778</v>
      </c>
      <c r="C388" s="1">
        <v>45420</v>
      </c>
      <c r="D388">
        <v>65</v>
      </c>
      <c r="E388" t="s">
        <v>162</v>
      </c>
      <c r="F388" t="s">
        <v>68</v>
      </c>
      <c r="G388" t="s">
        <v>16</v>
      </c>
      <c r="H388">
        <v>20</v>
      </c>
      <c r="I388" s="5">
        <v>57272</v>
      </c>
      <c r="J388" t="str" cm="1">
        <f t="array" ref="J38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88">
        <v>640</v>
      </c>
      <c r="L388" t="s">
        <v>27</v>
      </c>
      <c r="M388">
        <v>0</v>
      </c>
      <c r="N388">
        <v>1087</v>
      </c>
      <c r="O388" t="str" cm="1">
        <f t="array" ref="O38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88" t="s">
        <v>20</v>
      </c>
      <c r="Q388" s="5">
        <v>5800</v>
      </c>
      <c r="R388">
        <v>24</v>
      </c>
      <c r="S388">
        <v>14.02</v>
      </c>
      <c r="T388">
        <v>278.52999999999997</v>
      </c>
      <c r="U388">
        <v>28.6</v>
      </c>
      <c r="V388" t="str" cm="1">
        <f t="array" ref="V38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88" t="s">
        <v>24</v>
      </c>
      <c r="X388">
        <v>170</v>
      </c>
      <c r="Y388">
        <v>1</v>
      </c>
      <c r="Z38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88" s="5">
        <f>IF(Merge1[[#This Row],[loan_applications.defaulted]]=1,Merge1[[#This Row],[loan_applications.loan_amount]],0)</f>
        <v>5800</v>
      </c>
    </row>
    <row r="389" spans="1:27" x14ac:dyDescent="0.35">
      <c r="A389" t="s">
        <v>779</v>
      </c>
      <c r="B389" t="s">
        <v>780</v>
      </c>
      <c r="C389" s="1">
        <v>45494</v>
      </c>
      <c r="D389">
        <v>54</v>
      </c>
      <c r="E389" t="s">
        <v>330</v>
      </c>
      <c r="F389" t="s">
        <v>15</v>
      </c>
      <c r="G389" t="s">
        <v>26</v>
      </c>
      <c r="H389">
        <v>1</v>
      </c>
      <c r="I389" s="5">
        <v>51267</v>
      </c>
      <c r="J389" t="str" cm="1">
        <f t="array" ref="J38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89">
        <v>619</v>
      </c>
      <c r="L389" t="s">
        <v>17</v>
      </c>
      <c r="M389">
        <v>1</v>
      </c>
      <c r="N389">
        <v>1811</v>
      </c>
      <c r="O389" t="str" cm="1">
        <f t="array" ref="O38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89" t="s">
        <v>56</v>
      </c>
      <c r="Q389" s="5">
        <v>4200</v>
      </c>
      <c r="R389">
        <v>48</v>
      </c>
      <c r="S389">
        <v>11.24</v>
      </c>
      <c r="T389">
        <v>109.04</v>
      </c>
      <c r="U389">
        <v>44.9</v>
      </c>
      <c r="V389" t="str" cm="1">
        <f t="array" ref="V38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89" t="s">
        <v>24</v>
      </c>
      <c r="X389">
        <v>75</v>
      </c>
      <c r="Y389">
        <v>1</v>
      </c>
      <c r="Z38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89" s="5">
        <f>IF(Merge1[[#This Row],[loan_applications.defaulted]]=1,Merge1[[#This Row],[loan_applications.loan_amount]],0)</f>
        <v>4200</v>
      </c>
    </row>
    <row r="390" spans="1:27" x14ac:dyDescent="0.35">
      <c r="A390" t="s">
        <v>781</v>
      </c>
      <c r="B390" t="s">
        <v>780</v>
      </c>
      <c r="C390" s="1">
        <v>45498</v>
      </c>
      <c r="D390">
        <v>54</v>
      </c>
      <c r="E390" t="s">
        <v>330</v>
      </c>
      <c r="F390" t="s">
        <v>15</v>
      </c>
      <c r="G390" t="s">
        <v>26</v>
      </c>
      <c r="H390">
        <v>1</v>
      </c>
      <c r="I390" s="5">
        <v>51267</v>
      </c>
      <c r="J390" t="str" cm="1">
        <f t="array" ref="J39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90">
        <v>619</v>
      </c>
      <c r="L390" t="s">
        <v>17</v>
      </c>
      <c r="M390">
        <v>1</v>
      </c>
      <c r="N390">
        <v>1811</v>
      </c>
      <c r="O390" t="str" cm="1">
        <f t="array" ref="O39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390" t="s">
        <v>71</v>
      </c>
      <c r="Q390" s="5">
        <v>10200</v>
      </c>
      <c r="R390">
        <v>48</v>
      </c>
      <c r="S390">
        <v>14.52</v>
      </c>
      <c r="T390">
        <v>281.39999999999998</v>
      </c>
      <c r="U390">
        <v>49</v>
      </c>
      <c r="V390" t="str" cm="1">
        <f t="array" ref="V39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90" t="s">
        <v>24</v>
      </c>
      <c r="X390">
        <v>153</v>
      </c>
      <c r="Y390">
        <v>1</v>
      </c>
      <c r="Z39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90" s="5">
        <f>IF(Merge1[[#This Row],[loan_applications.defaulted]]=1,Merge1[[#This Row],[loan_applications.loan_amount]],0)</f>
        <v>10200</v>
      </c>
    </row>
    <row r="391" spans="1:27" x14ac:dyDescent="0.35">
      <c r="A391" t="s">
        <v>782</v>
      </c>
      <c r="B391" t="s">
        <v>783</v>
      </c>
      <c r="C391" s="1">
        <v>45735</v>
      </c>
      <c r="D391">
        <v>37</v>
      </c>
      <c r="E391" t="s">
        <v>169</v>
      </c>
      <c r="F391" t="s">
        <v>15</v>
      </c>
      <c r="G391" t="s">
        <v>26</v>
      </c>
      <c r="H391">
        <v>0</v>
      </c>
      <c r="I391" s="5">
        <v>50342</v>
      </c>
      <c r="J391" t="str" cm="1">
        <f t="array" ref="J39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91">
        <v>592</v>
      </c>
      <c r="L391" t="s">
        <v>27</v>
      </c>
      <c r="M391">
        <v>4</v>
      </c>
      <c r="N391">
        <v>483</v>
      </c>
      <c r="O391" t="str" cm="1">
        <f t="array" ref="O39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391" t="s">
        <v>45</v>
      </c>
      <c r="Q391" s="5">
        <v>8200</v>
      </c>
      <c r="R391">
        <v>48</v>
      </c>
      <c r="S391">
        <v>12.25</v>
      </c>
      <c r="T391">
        <v>216.95</v>
      </c>
      <c r="U391">
        <v>16.7</v>
      </c>
      <c r="V391" t="str" cm="1">
        <f t="array" ref="V39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391" t="s">
        <v>21</v>
      </c>
      <c r="X391">
        <v>0</v>
      </c>
      <c r="Y391">
        <v>0</v>
      </c>
      <c r="Z391" s="5">
        <f>IF(Merge1[[#This Row],[loan_applications.defaulted]]=0,Merge1[[#This Row],[loan_applications.loan_amount]]*(Merge1[[#This Row],[loan_applications.interest_rate]]/100)*(Merge1[[#This Row],[loan_applications.term_months]]/12),0)</f>
        <v>4018</v>
      </c>
      <c r="AA391" s="5">
        <f>IF(Merge1[[#This Row],[loan_applications.defaulted]]=1,Merge1[[#This Row],[loan_applications.loan_amount]],0)</f>
        <v>0</v>
      </c>
    </row>
    <row r="392" spans="1:27" x14ac:dyDescent="0.35">
      <c r="A392" t="s">
        <v>784</v>
      </c>
      <c r="B392" t="s">
        <v>785</v>
      </c>
      <c r="C392" s="1">
        <v>45448</v>
      </c>
      <c r="D392">
        <v>47</v>
      </c>
      <c r="E392" t="s">
        <v>46</v>
      </c>
      <c r="F392" t="s">
        <v>32</v>
      </c>
      <c r="G392" t="s">
        <v>63</v>
      </c>
      <c r="H392">
        <v>18</v>
      </c>
      <c r="I392" s="5">
        <v>44951</v>
      </c>
      <c r="J392" t="str" cm="1">
        <f t="array" ref="J39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92">
        <v>828</v>
      </c>
      <c r="L392" t="s">
        <v>34</v>
      </c>
      <c r="M392">
        <v>0</v>
      </c>
      <c r="N392">
        <v>2054</v>
      </c>
      <c r="O392" t="str" cm="1">
        <f t="array" ref="O39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92" t="s">
        <v>23</v>
      </c>
      <c r="Q392" s="5">
        <v>4900</v>
      </c>
      <c r="R392">
        <v>36</v>
      </c>
      <c r="S392">
        <v>9.18</v>
      </c>
      <c r="T392">
        <v>156.22999999999999</v>
      </c>
      <c r="U392">
        <v>59</v>
      </c>
      <c r="V392" t="str" cm="1">
        <f t="array" ref="V39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92" t="s">
        <v>41</v>
      </c>
      <c r="X392">
        <v>0</v>
      </c>
      <c r="Y392">
        <v>0</v>
      </c>
      <c r="Z392" s="5">
        <f>IF(Merge1[[#This Row],[loan_applications.defaulted]]=0,Merge1[[#This Row],[loan_applications.loan_amount]]*(Merge1[[#This Row],[loan_applications.interest_rate]]/100)*(Merge1[[#This Row],[loan_applications.term_months]]/12),0)</f>
        <v>1349.4599999999998</v>
      </c>
      <c r="AA392" s="5">
        <f>IF(Merge1[[#This Row],[loan_applications.defaulted]]=1,Merge1[[#This Row],[loan_applications.loan_amount]],0)</f>
        <v>0</v>
      </c>
    </row>
    <row r="393" spans="1:27" x14ac:dyDescent="0.35">
      <c r="A393" t="s">
        <v>786</v>
      </c>
      <c r="B393" t="s">
        <v>787</v>
      </c>
      <c r="C393" s="1">
        <v>45772</v>
      </c>
      <c r="D393">
        <v>34</v>
      </c>
      <c r="E393" t="s">
        <v>95</v>
      </c>
      <c r="F393" t="s">
        <v>62</v>
      </c>
      <c r="G393" t="s">
        <v>26</v>
      </c>
      <c r="H393">
        <v>1</v>
      </c>
      <c r="I393" s="5">
        <v>65650</v>
      </c>
      <c r="J393" t="str" cm="1">
        <f t="array" ref="J39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93">
        <v>704</v>
      </c>
      <c r="L393" t="s">
        <v>27</v>
      </c>
      <c r="M393">
        <v>0</v>
      </c>
      <c r="N393">
        <v>2801</v>
      </c>
      <c r="O393" t="str" cm="1">
        <f t="array" ref="O39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93" t="s">
        <v>37</v>
      </c>
      <c r="Q393" s="5">
        <v>30600</v>
      </c>
      <c r="R393">
        <v>12</v>
      </c>
      <c r="S393">
        <v>9.93</v>
      </c>
      <c r="T393">
        <v>2689.23</v>
      </c>
      <c r="U393">
        <v>100.4</v>
      </c>
      <c r="V393" t="str" cm="1">
        <f t="array" ref="V39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393" t="s">
        <v>24</v>
      </c>
      <c r="X393">
        <v>78</v>
      </c>
      <c r="Y393">
        <v>1</v>
      </c>
      <c r="Z39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93" s="5">
        <f>IF(Merge1[[#This Row],[loan_applications.defaulted]]=1,Merge1[[#This Row],[loan_applications.loan_amount]],0)</f>
        <v>30600</v>
      </c>
    </row>
    <row r="394" spans="1:27" x14ac:dyDescent="0.35">
      <c r="A394" t="s">
        <v>788</v>
      </c>
      <c r="B394" t="s">
        <v>789</v>
      </c>
      <c r="C394" s="1">
        <v>45696</v>
      </c>
      <c r="D394">
        <v>49</v>
      </c>
      <c r="E394" t="s">
        <v>61</v>
      </c>
      <c r="F394" t="s">
        <v>62</v>
      </c>
      <c r="G394" t="s">
        <v>26</v>
      </c>
      <c r="H394">
        <v>5</v>
      </c>
      <c r="I394" s="5">
        <v>57129</v>
      </c>
      <c r="J394" t="str" cm="1">
        <f t="array" ref="J39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394">
        <v>748</v>
      </c>
      <c r="L394" t="s">
        <v>34</v>
      </c>
      <c r="M394">
        <v>0</v>
      </c>
      <c r="N394">
        <v>904</v>
      </c>
      <c r="O394" t="str" cm="1">
        <f t="array" ref="O39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394" t="s">
        <v>30</v>
      </c>
      <c r="Q394" s="5">
        <v>20000</v>
      </c>
      <c r="R394">
        <v>48</v>
      </c>
      <c r="S394">
        <v>12.16</v>
      </c>
      <c r="T394">
        <v>528.25</v>
      </c>
      <c r="U394">
        <v>30.1</v>
      </c>
      <c r="V394" t="str" cm="1">
        <f t="array" ref="V39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94" t="s">
        <v>41</v>
      </c>
      <c r="X394">
        <v>0</v>
      </c>
      <c r="Y394">
        <v>0</v>
      </c>
      <c r="Z394" s="5">
        <f>IF(Merge1[[#This Row],[loan_applications.defaulted]]=0,Merge1[[#This Row],[loan_applications.loan_amount]]*(Merge1[[#This Row],[loan_applications.interest_rate]]/100)*(Merge1[[#This Row],[loan_applications.term_months]]/12),0)</f>
        <v>9728</v>
      </c>
      <c r="AA394" s="5">
        <f>IF(Merge1[[#This Row],[loan_applications.defaulted]]=1,Merge1[[#This Row],[loan_applications.loan_amount]],0)</f>
        <v>0</v>
      </c>
    </row>
    <row r="395" spans="1:27" x14ac:dyDescent="0.35">
      <c r="A395" t="s">
        <v>790</v>
      </c>
      <c r="B395" t="s">
        <v>791</v>
      </c>
      <c r="C395" s="1">
        <v>45458</v>
      </c>
      <c r="D395">
        <v>31</v>
      </c>
      <c r="E395" t="s">
        <v>109</v>
      </c>
      <c r="F395" t="s">
        <v>15</v>
      </c>
      <c r="G395" t="s">
        <v>63</v>
      </c>
      <c r="H395">
        <v>7</v>
      </c>
      <c r="I395" s="5">
        <v>17078</v>
      </c>
      <c r="J395" t="str" cm="1">
        <f t="array" ref="J39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95">
        <v>671</v>
      </c>
      <c r="L395" t="s">
        <v>34</v>
      </c>
      <c r="M395">
        <v>1</v>
      </c>
      <c r="N395">
        <v>133</v>
      </c>
      <c r="O395" t="str" cm="1">
        <f t="array" ref="O39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95" t="s">
        <v>71</v>
      </c>
      <c r="Q395" s="5">
        <v>6100</v>
      </c>
      <c r="R395">
        <v>12</v>
      </c>
      <c r="S395">
        <v>10.74</v>
      </c>
      <c r="T395">
        <v>538.39</v>
      </c>
      <c r="U395">
        <v>47.2</v>
      </c>
      <c r="V395" t="str" cm="1">
        <f t="array" ref="V39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95" t="s">
        <v>24</v>
      </c>
      <c r="X395">
        <v>141</v>
      </c>
      <c r="Y395">
        <v>1</v>
      </c>
      <c r="Z39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95" s="5">
        <f>IF(Merge1[[#This Row],[loan_applications.defaulted]]=1,Merge1[[#This Row],[loan_applications.loan_amount]],0)</f>
        <v>6100</v>
      </c>
    </row>
    <row r="396" spans="1:27" x14ac:dyDescent="0.35">
      <c r="A396" t="s">
        <v>792</v>
      </c>
      <c r="B396" t="s">
        <v>793</v>
      </c>
      <c r="C396" s="1">
        <v>45686</v>
      </c>
      <c r="D396">
        <v>46</v>
      </c>
      <c r="E396" t="s">
        <v>57</v>
      </c>
      <c r="F396" t="s">
        <v>15</v>
      </c>
      <c r="G396" t="s">
        <v>26</v>
      </c>
      <c r="H396">
        <v>7</v>
      </c>
      <c r="I396" s="5">
        <v>53539</v>
      </c>
      <c r="J396" t="str" cm="1">
        <f t="array" ref="J39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96">
        <v>799</v>
      </c>
      <c r="L396" t="s">
        <v>34</v>
      </c>
      <c r="M396">
        <v>1</v>
      </c>
      <c r="N396">
        <v>266</v>
      </c>
      <c r="O396" t="str" cm="1">
        <f t="array" ref="O39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96" t="s">
        <v>45</v>
      </c>
      <c r="Q396" s="5">
        <v>24900</v>
      </c>
      <c r="R396">
        <v>36</v>
      </c>
      <c r="S396">
        <v>10.17</v>
      </c>
      <c r="T396">
        <v>805.44</v>
      </c>
      <c r="U396">
        <v>24</v>
      </c>
      <c r="V396" t="str" cm="1">
        <f t="array" ref="V39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396" t="s">
        <v>41</v>
      </c>
      <c r="X396">
        <v>0</v>
      </c>
      <c r="Y396">
        <v>0</v>
      </c>
      <c r="Z396" s="5">
        <f>IF(Merge1[[#This Row],[loan_applications.defaulted]]=0,Merge1[[#This Row],[loan_applications.loan_amount]]*(Merge1[[#This Row],[loan_applications.interest_rate]]/100)*(Merge1[[#This Row],[loan_applications.term_months]]/12),0)</f>
        <v>7596.99</v>
      </c>
      <c r="AA396" s="5">
        <f>IF(Merge1[[#This Row],[loan_applications.defaulted]]=1,Merge1[[#This Row],[loan_applications.loan_amount]],0)</f>
        <v>0</v>
      </c>
    </row>
    <row r="397" spans="1:27" x14ac:dyDescent="0.35">
      <c r="A397" t="s">
        <v>794</v>
      </c>
      <c r="B397" t="s">
        <v>793</v>
      </c>
      <c r="C397" s="1">
        <v>45443</v>
      </c>
      <c r="D397">
        <v>46</v>
      </c>
      <c r="E397" t="s">
        <v>57</v>
      </c>
      <c r="F397" t="s">
        <v>15</v>
      </c>
      <c r="G397" t="s">
        <v>26</v>
      </c>
      <c r="H397">
        <v>7</v>
      </c>
      <c r="I397" s="5">
        <v>53539</v>
      </c>
      <c r="J397" t="str" cm="1">
        <f t="array" ref="J39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397">
        <v>799</v>
      </c>
      <c r="L397" t="s">
        <v>34</v>
      </c>
      <c r="M397">
        <v>1</v>
      </c>
      <c r="N397">
        <v>266</v>
      </c>
      <c r="O397" t="str" cm="1">
        <f t="array" ref="O39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97" t="s">
        <v>60</v>
      </c>
      <c r="Q397" s="5">
        <v>19300</v>
      </c>
      <c r="R397">
        <v>12</v>
      </c>
      <c r="S397">
        <v>10.17</v>
      </c>
      <c r="T397">
        <v>1698.3</v>
      </c>
      <c r="U397">
        <v>44</v>
      </c>
      <c r="V397" t="str" cm="1">
        <f t="array" ref="V39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97" t="s">
        <v>91</v>
      </c>
      <c r="X397">
        <v>0</v>
      </c>
      <c r="Y397">
        <v>0</v>
      </c>
      <c r="Z397" s="5">
        <f>IF(Merge1[[#This Row],[loan_applications.defaulted]]=0,Merge1[[#This Row],[loan_applications.loan_amount]]*(Merge1[[#This Row],[loan_applications.interest_rate]]/100)*(Merge1[[#This Row],[loan_applications.term_months]]/12),0)</f>
        <v>1962.81</v>
      </c>
      <c r="AA397" s="5">
        <f>IF(Merge1[[#This Row],[loan_applications.defaulted]]=1,Merge1[[#This Row],[loan_applications.loan_amount]],0)</f>
        <v>0</v>
      </c>
    </row>
    <row r="398" spans="1:27" x14ac:dyDescent="0.35">
      <c r="A398" t="s">
        <v>795</v>
      </c>
      <c r="B398" t="s">
        <v>796</v>
      </c>
      <c r="C398" s="1">
        <v>45386</v>
      </c>
      <c r="D398">
        <v>46</v>
      </c>
      <c r="E398" t="s">
        <v>83</v>
      </c>
      <c r="F398" t="s">
        <v>62</v>
      </c>
      <c r="G398" t="s">
        <v>26</v>
      </c>
      <c r="H398">
        <v>11</v>
      </c>
      <c r="I398" s="5">
        <v>101319</v>
      </c>
      <c r="J398" t="str" cm="1">
        <f t="array" ref="J39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398">
        <v>793</v>
      </c>
      <c r="L398" t="s">
        <v>17</v>
      </c>
      <c r="M398">
        <v>1</v>
      </c>
      <c r="N398">
        <v>1563</v>
      </c>
      <c r="O398" t="str" cm="1">
        <f t="array" ref="O39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398" t="s">
        <v>71</v>
      </c>
      <c r="Q398" s="5">
        <v>33800</v>
      </c>
      <c r="R398">
        <v>24</v>
      </c>
      <c r="S398">
        <v>6.85</v>
      </c>
      <c r="T398">
        <v>1511.02</v>
      </c>
      <c r="U398">
        <v>36.4</v>
      </c>
      <c r="V398" t="str" cm="1">
        <f t="array" ref="V39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398" t="s">
        <v>91</v>
      </c>
      <c r="X398">
        <v>15</v>
      </c>
      <c r="Y398">
        <v>0</v>
      </c>
      <c r="Z398" s="5">
        <f>IF(Merge1[[#This Row],[loan_applications.defaulted]]=0,Merge1[[#This Row],[loan_applications.loan_amount]]*(Merge1[[#This Row],[loan_applications.interest_rate]]/100)*(Merge1[[#This Row],[loan_applications.term_months]]/12),0)</f>
        <v>4630.5999999999995</v>
      </c>
      <c r="AA398" s="5">
        <f>IF(Merge1[[#This Row],[loan_applications.defaulted]]=1,Merge1[[#This Row],[loan_applications.loan_amount]],0)</f>
        <v>0</v>
      </c>
    </row>
    <row r="399" spans="1:27" x14ac:dyDescent="0.35">
      <c r="A399" t="s">
        <v>797</v>
      </c>
      <c r="B399" t="s">
        <v>798</v>
      </c>
      <c r="C399" s="1">
        <v>45729</v>
      </c>
      <c r="D399">
        <v>23</v>
      </c>
      <c r="E399" t="s">
        <v>113</v>
      </c>
      <c r="F399" t="s">
        <v>68</v>
      </c>
      <c r="G399" t="s">
        <v>26</v>
      </c>
      <c r="H399">
        <v>0</v>
      </c>
      <c r="I399" s="5">
        <v>70784</v>
      </c>
      <c r="J399" t="str" cm="1">
        <f t="array" ref="J39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399">
        <v>678</v>
      </c>
      <c r="L399" t="s">
        <v>17</v>
      </c>
      <c r="M399">
        <v>1</v>
      </c>
      <c r="N399">
        <v>2556</v>
      </c>
      <c r="O399" t="str" cm="1">
        <f t="array" ref="O39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399" t="s">
        <v>54</v>
      </c>
      <c r="Q399" s="5">
        <v>11100</v>
      </c>
      <c r="R399">
        <v>48</v>
      </c>
      <c r="S399">
        <v>9.5299999999999994</v>
      </c>
      <c r="T399">
        <v>279.02999999999997</v>
      </c>
      <c r="U399">
        <v>48.1</v>
      </c>
      <c r="V399" t="str" cm="1">
        <f t="array" ref="V39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399" t="s">
        <v>24</v>
      </c>
      <c r="X399">
        <v>107</v>
      </c>
      <c r="Y399">
        <v>1</v>
      </c>
      <c r="Z39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399" s="5">
        <f>IF(Merge1[[#This Row],[loan_applications.defaulted]]=1,Merge1[[#This Row],[loan_applications.loan_amount]],0)</f>
        <v>11100</v>
      </c>
    </row>
    <row r="400" spans="1:27" x14ac:dyDescent="0.35">
      <c r="A400" t="s">
        <v>799</v>
      </c>
      <c r="B400" t="s">
        <v>800</v>
      </c>
      <c r="C400" s="1">
        <v>45383</v>
      </c>
      <c r="D400">
        <v>36</v>
      </c>
      <c r="E400" t="s">
        <v>51</v>
      </c>
      <c r="F400" t="s">
        <v>47</v>
      </c>
      <c r="G400" t="s">
        <v>26</v>
      </c>
      <c r="H400">
        <v>1</v>
      </c>
      <c r="I400" s="5">
        <v>135142</v>
      </c>
      <c r="J400" t="str" cm="1">
        <f t="array" ref="J40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00">
        <v>686</v>
      </c>
      <c r="L400" t="s">
        <v>17</v>
      </c>
      <c r="M400">
        <v>2</v>
      </c>
      <c r="N400">
        <v>6096</v>
      </c>
      <c r="O400" t="str" cm="1">
        <f t="array" ref="O40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00" t="s">
        <v>30</v>
      </c>
      <c r="Q400" s="5">
        <v>20400</v>
      </c>
      <c r="R400">
        <v>36</v>
      </c>
      <c r="S400">
        <v>12.24</v>
      </c>
      <c r="T400">
        <v>679.91</v>
      </c>
      <c r="U400">
        <v>60.2</v>
      </c>
      <c r="V400" t="str" cm="1">
        <f t="array" ref="V40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00" t="s">
        <v>24</v>
      </c>
      <c r="X400">
        <v>176</v>
      </c>
      <c r="Y400">
        <v>1</v>
      </c>
      <c r="Z40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00" s="5">
        <f>IF(Merge1[[#This Row],[loan_applications.defaulted]]=1,Merge1[[#This Row],[loan_applications.loan_amount]],0)</f>
        <v>20400</v>
      </c>
    </row>
    <row r="401" spans="1:27" x14ac:dyDescent="0.35">
      <c r="A401" t="s">
        <v>801</v>
      </c>
      <c r="B401" t="s">
        <v>802</v>
      </c>
      <c r="C401" s="1">
        <v>45699</v>
      </c>
      <c r="D401">
        <v>46</v>
      </c>
      <c r="E401" t="s">
        <v>57</v>
      </c>
      <c r="F401" t="s">
        <v>32</v>
      </c>
      <c r="G401" t="s">
        <v>33</v>
      </c>
      <c r="H401">
        <v>7</v>
      </c>
      <c r="I401" s="5">
        <v>94525</v>
      </c>
      <c r="J401" t="str" cm="1">
        <f t="array" ref="J40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01">
        <v>630</v>
      </c>
      <c r="L401" t="s">
        <v>34</v>
      </c>
      <c r="M401">
        <v>2</v>
      </c>
      <c r="N401">
        <v>1806</v>
      </c>
      <c r="O401" t="str" cm="1">
        <f t="array" ref="O40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01" t="s">
        <v>45</v>
      </c>
      <c r="Q401" s="5">
        <v>14900</v>
      </c>
      <c r="R401">
        <v>24</v>
      </c>
      <c r="S401">
        <v>14.15</v>
      </c>
      <c r="T401">
        <v>716.45</v>
      </c>
      <c r="U401">
        <v>32</v>
      </c>
      <c r="V401" t="str" cm="1">
        <f t="array" ref="V40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01" t="s">
        <v>41</v>
      </c>
      <c r="X401">
        <v>0</v>
      </c>
      <c r="Y401">
        <v>0</v>
      </c>
      <c r="Z401" s="5">
        <f>IF(Merge1[[#This Row],[loan_applications.defaulted]]=0,Merge1[[#This Row],[loan_applications.loan_amount]]*(Merge1[[#This Row],[loan_applications.interest_rate]]/100)*(Merge1[[#This Row],[loan_applications.term_months]]/12),0)</f>
        <v>4216.7000000000007</v>
      </c>
      <c r="AA401" s="5">
        <f>IF(Merge1[[#This Row],[loan_applications.defaulted]]=1,Merge1[[#This Row],[loan_applications.loan_amount]],0)</f>
        <v>0</v>
      </c>
    </row>
    <row r="402" spans="1:27" x14ac:dyDescent="0.35">
      <c r="A402" t="s">
        <v>803</v>
      </c>
      <c r="B402" t="s">
        <v>804</v>
      </c>
      <c r="C402" s="1">
        <v>45587</v>
      </c>
      <c r="D402">
        <v>59</v>
      </c>
      <c r="E402" t="s">
        <v>105</v>
      </c>
      <c r="F402" t="s">
        <v>15</v>
      </c>
      <c r="G402" t="s">
        <v>16</v>
      </c>
      <c r="H402">
        <v>9</v>
      </c>
      <c r="I402" s="5">
        <v>55754</v>
      </c>
      <c r="J402" t="str" cm="1">
        <f t="array" ref="J40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02">
        <v>818</v>
      </c>
      <c r="L402" t="s">
        <v>34</v>
      </c>
      <c r="M402">
        <v>3</v>
      </c>
      <c r="N402">
        <v>2114</v>
      </c>
      <c r="O402" t="str" cm="1">
        <f t="array" ref="O40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02" t="s">
        <v>54</v>
      </c>
      <c r="Q402" s="5">
        <v>15500</v>
      </c>
      <c r="R402">
        <v>60</v>
      </c>
      <c r="S402">
        <v>8.4499999999999993</v>
      </c>
      <c r="T402">
        <v>317.63</v>
      </c>
      <c r="U402">
        <v>52.3</v>
      </c>
      <c r="V402" t="str" cm="1">
        <f t="array" ref="V40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02" t="s">
        <v>41</v>
      </c>
      <c r="X402">
        <v>0</v>
      </c>
      <c r="Y402">
        <v>0</v>
      </c>
      <c r="Z402" s="5">
        <f>IF(Merge1[[#This Row],[loan_applications.defaulted]]=0,Merge1[[#This Row],[loan_applications.loan_amount]]*(Merge1[[#This Row],[loan_applications.interest_rate]]/100)*(Merge1[[#This Row],[loan_applications.term_months]]/12),0)</f>
        <v>6548.7499999999991</v>
      </c>
      <c r="AA402" s="5">
        <f>IF(Merge1[[#This Row],[loan_applications.defaulted]]=1,Merge1[[#This Row],[loan_applications.loan_amount]],0)</f>
        <v>0</v>
      </c>
    </row>
    <row r="403" spans="1:27" x14ac:dyDescent="0.35">
      <c r="A403" t="s">
        <v>805</v>
      </c>
      <c r="B403" t="s">
        <v>806</v>
      </c>
      <c r="C403" s="1">
        <v>45509</v>
      </c>
      <c r="D403">
        <v>53</v>
      </c>
      <c r="E403" t="s">
        <v>86</v>
      </c>
      <c r="F403" t="s">
        <v>32</v>
      </c>
      <c r="G403" t="s">
        <v>26</v>
      </c>
      <c r="H403">
        <v>14</v>
      </c>
      <c r="I403" s="5">
        <v>43022</v>
      </c>
      <c r="J403" t="str" cm="1">
        <f t="array" ref="J40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03">
        <v>558</v>
      </c>
      <c r="L403" t="s">
        <v>34</v>
      </c>
      <c r="M403">
        <v>1</v>
      </c>
      <c r="N403">
        <v>180</v>
      </c>
      <c r="O403" t="str" cm="1">
        <f t="array" ref="O40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03" t="s">
        <v>56</v>
      </c>
      <c r="Q403" s="5">
        <v>20100</v>
      </c>
      <c r="R403">
        <v>12</v>
      </c>
      <c r="S403">
        <v>12.95</v>
      </c>
      <c r="T403">
        <v>1794.81</v>
      </c>
      <c r="U403">
        <v>55.1</v>
      </c>
      <c r="V403" t="str" cm="1">
        <f t="array" ref="V40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03" t="s">
        <v>24</v>
      </c>
      <c r="X403">
        <v>45</v>
      </c>
      <c r="Y403">
        <v>1</v>
      </c>
      <c r="Z40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03" s="5">
        <f>IF(Merge1[[#This Row],[loan_applications.defaulted]]=1,Merge1[[#This Row],[loan_applications.loan_amount]],0)</f>
        <v>20100</v>
      </c>
    </row>
    <row r="404" spans="1:27" x14ac:dyDescent="0.35">
      <c r="A404" t="s">
        <v>807</v>
      </c>
      <c r="B404" t="s">
        <v>808</v>
      </c>
      <c r="C404" s="1">
        <v>45403</v>
      </c>
      <c r="D404">
        <v>61</v>
      </c>
      <c r="E404" t="s">
        <v>157</v>
      </c>
      <c r="F404" t="s">
        <v>68</v>
      </c>
      <c r="G404" t="s">
        <v>26</v>
      </c>
      <c r="H404">
        <v>3</v>
      </c>
      <c r="I404" s="5">
        <v>62522</v>
      </c>
      <c r="J404" t="str" cm="1">
        <f t="array" ref="J40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04">
        <v>700</v>
      </c>
      <c r="L404" t="s">
        <v>27</v>
      </c>
      <c r="M404">
        <v>2</v>
      </c>
      <c r="N404">
        <v>629</v>
      </c>
      <c r="O404" t="str" cm="1">
        <f t="array" ref="O40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04" t="s">
        <v>56</v>
      </c>
      <c r="Q404" s="5">
        <v>34700</v>
      </c>
      <c r="R404">
        <v>48</v>
      </c>
      <c r="S404">
        <v>10.54</v>
      </c>
      <c r="T404">
        <v>889.11</v>
      </c>
      <c r="U404">
        <v>29.1</v>
      </c>
      <c r="V404" t="str" cm="1">
        <f t="array" ref="V40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04" t="s">
        <v>41</v>
      </c>
      <c r="X404">
        <v>0</v>
      </c>
      <c r="Y404">
        <v>0</v>
      </c>
      <c r="Z404" s="5">
        <f>IF(Merge1[[#This Row],[loan_applications.defaulted]]=0,Merge1[[#This Row],[loan_applications.loan_amount]]*(Merge1[[#This Row],[loan_applications.interest_rate]]/100)*(Merge1[[#This Row],[loan_applications.term_months]]/12),0)</f>
        <v>14629.519999999999</v>
      </c>
      <c r="AA404" s="5">
        <f>IF(Merge1[[#This Row],[loan_applications.defaulted]]=1,Merge1[[#This Row],[loan_applications.loan_amount]],0)</f>
        <v>0</v>
      </c>
    </row>
    <row r="405" spans="1:27" x14ac:dyDescent="0.35">
      <c r="A405" t="s">
        <v>809</v>
      </c>
      <c r="B405" t="s">
        <v>810</v>
      </c>
      <c r="C405" s="1">
        <v>45395</v>
      </c>
      <c r="D405">
        <v>29</v>
      </c>
      <c r="E405" t="s">
        <v>118</v>
      </c>
      <c r="F405" t="s">
        <v>62</v>
      </c>
      <c r="G405" t="s">
        <v>33</v>
      </c>
      <c r="H405">
        <v>6</v>
      </c>
      <c r="I405" s="5">
        <v>137015</v>
      </c>
      <c r="J405" t="str" cm="1">
        <f t="array" ref="J40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05">
        <v>741</v>
      </c>
      <c r="L405" t="s">
        <v>34</v>
      </c>
      <c r="M405">
        <v>1</v>
      </c>
      <c r="N405">
        <v>1349</v>
      </c>
      <c r="O405" t="str" cm="1">
        <f t="array" ref="O40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05" t="s">
        <v>37</v>
      </c>
      <c r="Q405" s="5">
        <v>3400</v>
      </c>
      <c r="R405">
        <v>24</v>
      </c>
      <c r="S405">
        <v>10.039999999999999</v>
      </c>
      <c r="T405">
        <v>156.96</v>
      </c>
      <c r="U405">
        <v>13.2</v>
      </c>
      <c r="V405" t="str" cm="1">
        <f t="array" ref="V40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05" t="s">
        <v>24</v>
      </c>
      <c r="X405">
        <v>98</v>
      </c>
      <c r="Y405">
        <v>1</v>
      </c>
      <c r="Z40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05" s="5">
        <f>IF(Merge1[[#This Row],[loan_applications.defaulted]]=1,Merge1[[#This Row],[loan_applications.loan_amount]],0)</f>
        <v>3400</v>
      </c>
    </row>
    <row r="406" spans="1:27" x14ac:dyDescent="0.35">
      <c r="A406" t="s">
        <v>811</v>
      </c>
      <c r="B406" t="s">
        <v>812</v>
      </c>
      <c r="C406" s="1">
        <v>45826</v>
      </c>
      <c r="D406">
        <v>32</v>
      </c>
      <c r="E406" t="s">
        <v>162</v>
      </c>
      <c r="F406" t="s">
        <v>62</v>
      </c>
      <c r="G406" t="s">
        <v>26</v>
      </c>
      <c r="H406">
        <v>10</v>
      </c>
      <c r="I406" s="5">
        <v>109449</v>
      </c>
      <c r="J406" t="str" cm="1">
        <f t="array" ref="J40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06">
        <v>794</v>
      </c>
      <c r="L406" t="s">
        <v>34</v>
      </c>
      <c r="M406">
        <v>4</v>
      </c>
      <c r="N406">
        <v>3618</v>
      </c>
      <c r="O406" t="str" cm="1">
        <f t="array" ref="O40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06" t="s">
        <v>60</v>
      </c>
      <c r="Q406" s="5">
        <v>39900</v>
      </c>
      <c r="R406">
        <v>12</v>
      </c>
      <c r="S406">
        <v>7.25</v>
      </c>
      <c r="T406">
        <v>3457.02</v>
      </c>
      <c r="U406">
        <v>77.599999999999994</v>
      </c>
      <c r="V406" t="str" cm="1">
        <f t="array" ref="V40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06" t="s">
        <v>41</v>
      </c>
      <c r="X406">
        <v>0</v>
      </c>
      <c r="Y406">
        <v>0</v>
      </c>
      <c r="Z406" s="5">
        <f>IF(Merge1[[#This Row],[loan_applications.defaulted]]=0,Merge1[[#This Row],[loan_applications.loan_amount]]*(Merge1[[#This Row],[loan_applications.interest_rate]]/100)*(Merge1[[#This Row],[loan_applications.term_months]]/12),0)</f>
        <v>2892.75</v>
      </c>
      <c r="AA406" s="5">
        <f>IF(Merge1[[#This Row],[loan_applications.defaulted]]=1,Merge1[[#This Row],[loan_applications.loan_amount]],0)</f>
        <v>0</v>
      </c>
    </row>
    <row r="407" spans="1:27" x14ac:dyDescent="0.35">
      <c r="A407" t="s">
        <v>813</v>
      </c>
      <c r="B407" t="s">
        <v>814</v>
      </c>
      <c r="C407" s="1">
        <v>45636</v>
      </c>
      <c r="D407">
        <v>61</v>
      </c>
      <c r="E407" t="s">
        <v>162</v>
      </c>
      <c r="F407" t="s">
        <v>62</v>
      </c>
      <c r="G407" t="s">
        <v>26</v>
      </c>
      <c r="H407">
        <v>24</v>
      </c>
      <c r="I407" s="5">
        <v>105131</v>
      </c>
      <c r="J407" t="str" cm="1">
        <f t="array" ref="J40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07">
        <v>634</v>
      </c>
      <c r="L407" t="s">
        <v>34</v>
      </c>
      <c r="M407">
        <v>0</v>
      </c>
      <c r="N407">
        <v>1216</v>
      </c>
      <c r="O407" t="str" cm="1">
        <f t="array" ref="O40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07" t="s">
        <v>37</v>
      </c>
      <c r="Q407" s="5">
        <v>24700</v>
      </c>
      <c r="R407">
        <v>36</v>
      </c>
      <c r="S407">
        <v>12.46</v>
      </c>
      <c r="T407">
        <v>825.83</v>
      </c>
      <c r="U407">
        <v>23.3</v>
      </c>
      <c r="V407" t="str" cm="1">
        <f t="array" ref="V40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07" t="s">
        <v>91</v>
      </c>
      <c r="X407">
        <v>15</v>
      </c>
      <c r="Y407">
        <v>0</v>
      </c>
      <c r="Z407" s="5">
        <f>IF(Merge1[[#This Row],[loan_applications.defaulted]]=0,Merge1[[#This Row],[loan_applications.loan_amount]]*(Merge1[[#This Row],[loan_applications.interest_rate]]/100)*(Merge1[[#This Row],[loan_applications.term_months]]/12),0)</f>
        <v>9232.86</v>
      </c>
      <c r="AA407" s="5">
        <f>IF(Merge1[[#This Row],[loan_applications.defaulted]]=1,Merge1[[#This Row],[loan_applications.loan_amount]],0)</f>
        <v>0</v>
      </c>
    </row>
    <row r="408" spans="1:27" x14ac:dyDescent="0.35">
      <c r="A408" t="s">
        <v>815</v>
      </c>
      <c r="B408" t="s">
        <v>814</v>
      </c>
      <c r="C408" s="1">
        <v>45656</v>
      </c>
      <c r="D408">
        <v>61</v>
      </c>
      <c r="E408" t="s">
        <v>162</v>
      </c>
      <c r="F408" t="s">
        <v>62</v>
      </c>
      <c r="G408" t="s">
        <v>26</v>
      </c>
      <c r="H408">
        <v>24</v>
      </c>
      <c r="I408" s="5">
        <v>105131</v>
      </c>
      <c r="J408" t="str" cm="1">
        <f t="array" ref="J40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08">
        <v>634</v>
      </c>
      <c r="L408" t="s">
        <v>34</v>
      </c>
      <c r="M408">
        <v>0</v>
      </c>
      <c r="N408">
        <v>1216</v>
      </c>
      <c r="O408" t="str" cm="1">
        <f t="array" ref="O40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08" t="s">
        <v>56</v>
      </c>
      <c r="Q408" s="5">
        <v>33900</v>
      </c>
      <c r="R408">
        <v>48</v>
      </c>
      <c r="S408">
        <v>12.49</v>
      </c>
      <c r="T408">
        <v>900.89</v>
      </c>
      <c r="U408">
        <v>24.2</v>
      </c>
      <c r="V408" t="str" cm="1">
        <f t="array" ref="V40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08" t="s">
        <v>41</v>
      </c>
      <c r="X408">
        <v>0</v>
      </c>
      <c r="Y408">
        <v>0</v>
      </c>
      <c r="Z408" s="5">
        <f>IF(Merge1[[#This Row],[loan_applications.defaulted]]=0,Merge1[[#This Row],[loan_applications.loan_amount]]*(Merge1[[#This Row],[loan_applications.interest_rate]]/100)*(Merge1[[#This Row],[loan_applications.term_months]]/12),0)</f>
        <v>16936.439999999999</v>
      </c>
      <c r="AA408" s="5">
        <f>IF(Merge1[[#This Row],[loan_applications.defaulted]]=1,Merge1[[#This Row],[loan_applications.loan_amount]],0)</f>
        <v>0</v>
      </c>
    </row>
    <row r="409" spans="1:27" x14ac:dyDescent="0.35">
      <c r="A409" t="s">
        <v>816</v>
      </c>
      <c r="B409" t="s">
        <v>817</v>
      </c>
      <c r="C409" s="1">
        <v>45417</v>
      </c>
      <c r="D409">
        <v>22</v>
      </c>
      <c r="E409" t="s">
        <v>118</v>
      </c>
      <c r="F409" t="s">
        <v>62</v>
      </c>
      <c r="G409" t="s">
        <v>75</v>
      </c>
      <c r="H409">
        <v>0</v>
      </c>
      <c r="I409" s="5">
        <v>52919</v>
      </c>
      <c r="J409" t="str" cm="1">
        <f t="array" ref="J40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09">
        <v>820</v>
      </c>
      <c r="L409" t="s">
        <v>27</v>
      </c>
      <c r="M409">
        <v>3</v>
      </c>
      <c r="N409">
        <v>2353</v>
      </c>
      <c r="O409" t="str" cm="1">
        <f t="array" ref="O40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09" t="s">
        <v>23</v>
      </c>
      <c r="Q409" s="5">
        <v>44600</v>
      </c>
      <c r="R409">
        <v>24</v>
      </c>
      <c r="S409">
        <v>6.46</v>
      </c>
      <c r="T409">
        <v>1985.96</v>
      </c>
      <c r="U409">
        <v>98.4</v>
      </c>
      <c r="V409" t="str" cm="1">
        <f t="array" ref="V40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09" t="s">
        <v>91</v>
      </c>
      <c r="X409">
        <v>0</v>
      </c>
      <c r="Y409">
        <v>0</v>
      </c>
      <c r="Z409" s="5">
        <f>IF(Merge1[[#This Row],[loan_applications.defaulted]]=0,Merge1[[#This Row],[loan_applications.loan_amount]]*(Merge1[[#This Row],[loan_applications.interest_rate]]/100)*(Merge1[[#This Row],[loan_applications.term_months]]/12),0)</f>
        <v>5762.3200000000006</v>
      </c>
      <c r="AA409" s="5">
        <f>IF(Merge1[[#This Row],[loan_applications.defaulted]]=1,Merge1[[#This Row],[loan_applications.loan_amount]],0)</f>
        <v>0</v>
      </c>
    </row>
    <row r="410" spans="1:27" x14ac:dyDescent="0.35">
      <c r="A410" t="s">
        <v>818</v>
      </c>
      <c r="B410" t="s">
        <v>817</v>
      </c>
      <c r="C410" s="1">
        <v>45484</v>
      </c>
      <c r="D410">
        <v>22</v>
      </c>
      <c r="E410" t="s">
        <v>118</v>
      </c>
      <c r="F410" t="s">
        <v>62</v>
      </c>
      <c r="G410" t="s">
        <v>75</v>
      </c>
      <c r="H410">
        <v>0</v>
      </c>
      <c r="I410" s="5">
        <v>52919</v>
      </c>
      <c r="J410" t="str" cm="1">
        <f t="array" ref="J41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10">
        <v>820</v>
      </c>
      <c r="L410" t="s">
        <v>27</v>
      </c>
      <c r="M410">
        <v>3</v>
      </c>
      <c r="N410">
        <v>2353</v>
      </c>
      <c r="O410" t="str" cm="1">
        <f t="array" ref="O41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10" t="s">
        <v>56</v>
      </c>
      <c r="Q410" s="5">
        <v>25000</v>
      </c>
      <c r="R410">
        <v>48</v>
      </c>
      <c r="S410">
        <v>8.91</v>
      </c>
      <c r="T410">
        <v>621.05999999999995</v>
      </c>
      <c r="U410">
        <v>67.400000000000006</v>
      </c>
      <c r="V410" t="str" cm="1">
        <f t="array" ref="V41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10" t="s">
        <v>24</v>
      </c>
      <c r="X410">
        <v>112</v>
      </c>
      <c r="Y410">
        <v>1</v>
      </c>
      <c r="Z41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10" s="5">
        <f>IF(Merge1[[#This Row],[loan_applications.defaulted]]=1,Merge1[[#This Row],[loan_applications.loan_amount]],0)</f>
        <v>25000</v>
      </c>
    </row>
    <row r="411" spans="1:27" x14ac:dyDescent="0.35">
      <c r="A411" t="s">
        <v>819</v>
      </c>
      <c r="B411" t="s">
        <v>820</v>
      </c>
      <c r="C411" s="1">
        <v>45531</v>
      </c>
      <c r="D411">
        <v>36</v>
      </c>
      <c r="E411" t="s">
        <v>118</v>
      </c>
      <c r="F411" t="s">
        <v>32</v>
      </c>
      <c r="G411" t="s">
        <v>26</v>
      </c>
      <c r="H411">
        <v>2</v>
      </c>
      <c r="I411" s="5">
        <v>72256</v>
      </c>
      <c r="J411" t="str" cm="1">
        <f t="array" ref="J41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11">
        <v>704</v>
      </c>
      <c r="L411" t="s">
        <v>27</v>
      </c>
      <c r="M411">
        <v>0</v>
      </c>
      <c r="N411">
        <v>2966</v>
      </c>
      <c r="O411" t="str" cm="1">
        <f t="array" ref="O41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11" t="s">
        <v>45</v>
      </c>
      <c r="Q411" s="5">
        <v>48500</v>
      </c>
      <c r="R411">
        <v>36</v>
      </c>
      <c r="S411">
        <v>11.66</v>
      </c>
      <c r="T411">
        <v>1603.03</v>
      </c>
      <c r="U411">
        <v>75.900000000000006</v>
      </c>
      <c r="V411" t="str" cm="1">
        <f t="array" ref="V41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11" t="s">
        <v>91</v>
      </c>
      <c r="X411">
        <v>0</v>
      </c>
      <c r="Y411">
        <v>0</v>
      </c>
      <c r="Z411" s="5">
        <f>IF(Merge1[[#This Row],[loan_applications.defaulted]]=0,Merge1[[#This Row],[loan_applications.loan_amount]]*(Merge1[[#This Row],[loan_applications.interest_rate]]/100)*(Merge1[[#This Row],[loan_applications.term_months]]/12),0)</f>
        <v>16965.3</v>
      </c>
      <c r="AA411" s="5">
        <f>IF(Merge1[[#This Row],[loan_applications.defaulted]]=1,Merge1[[#This Row],[loan_applications.loan_amount]],0)</f>
        <v>0</v>
      </c>
    </row>
    <row r="412" spans="1:27" x14ac:dyDescent="0.35">
      <c r="A412" t="s">
        <v>821</v>
      </c>
      <c r="B412" t="s">
        <v>822</v>
      </c>
      <c r="C412" s="1">
        <v>45394</v>
      </c>
      <c r="D412">
        <v>27</v>
      </c>
      <c r="E412" t="s">
        <v>105</v>
      </c>
      <c r="F412" t="s">
        <v>62</v>
      </c>
      <c r="G412" t="s">
        <v>16</v>
      </c>
      <c r="H412">
        <v>7</v>
      </c>
      <c r="I412" s="5">
        <v>117172</v>
      </c>
      <c r="J412" t="str" cm="1">
        <f t="array" ref="J41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12">
        <v>716</v>
      </c>
      <c r="L412" t="s">
        <v>27</v>
      </c>
      <c r="M412">
        <v>0</v>
      </c>
      <c r="N412">
        <v>819</v>
      </c>
      <c r="O412" t="str" cm="1">
        <f t="array" ref="O41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12" t="s">
        <v>23</v>
      </c>
      <c r="Q412" s="5">
        <v>47200</v>
      </c>
      <c r="R412">
        <v>48</v>
      </c>
      <c r="S412">
        <v>13</v>
      </c>
      <c r="T412">
        <v>1266.26</v>
      </c>
      <c r="U412">
        <v>21.4</v>
      </c>
      <c r="V412" t="str" cm="1">
        <f t="array" ref="V41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12" t="s">
        <v>41</v>
      </c>
      <c r="X412">
        <v>0</v>
      </c>
      <c r="Y412">
        <v>0</v>
      </c>
      <c r="Z412" s="5">
        <f>IF(Merge1[[#This Row],[loan_applications.defaulted]]=0,Merge1[[#This Row],[loan_applications.loan_amount]]*(Merge1[[#This Row],[loan_applications.interest_rate]]/100)*(Merge1[[#This Row],[loan_applications.term_months]]/12),0)</f>
        <v>24544</v>
      </c>
      <c r="AA412" s="5">
        <f>IF(Merge1[[#This Row],[loan_applications.defaulted]]=1,Merge1[[#This Row],[loan_applications.loan_amount]],0)</f>
        <v>0</v>
      </c>
    </row>
    <row r="413" spans="1:27" x14ac:dyDescent="0.35">
      <c r="A413" t="s">
        <v>823</v>
      </c>
      <c r="B413" t="s">
        <v>824</v>
      </c>
      <c r="C413" s="1">
        <v>45801</v>
      </c>
      <c r="D413">
        <v>38</v>
      </c>
      <c r="E413" t="s">
        <v>14</v>
      </c>
      <c r="F413" t="s">
        <v>62</v>
      </c>
      <c r="G413" t="s">
        <v>16</v>
      </c>
      <c r="H413">
        <v>13</v>
      </c>
      <c r="I413" s="5">
        <v>58731</v>
      </c>
      <c r="J413" t="str" cm="1">
        <f t="array" ref="J41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13">
        <v>754</v>
      </c>
      <c r="L413" t="s">
        <v>17</v>
      </c>
      <c r="M413">
        <v>1</v>
      </c>
      <c r="N413">
        <v>2402</v>
      </c>
      <c r="O413" t="str" cm="1">
        <f t="array" ref="O41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13" t="s">
        <v>30</v>
      </c>
      <c r="Q413" s="5">
        <v>39700</v>
      </c>
      <c r="R413">
        <v>60</v>
      </c>
      <c r="S413">
        <v>7.59</v>
      </c>
      <c r="T413">
        <v>797.21</v>
      </c>
      <c r="U413">
        <v>65.400000000000006</v>
      </c>
      <c r="V413" t="str" cm="1">
        <f t="array" ref="V41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13" t="s">
        <v>91</v>
      </c>
      <c r="X413">
        <v>0</v>
      </c>
      <c r="Y413">
        <v>0</v>
      </c>
      <c r="Z413" s="5">
        <f>IF(Merge1[[#This Row],[loan_applications.defaulted]]=0,Merge1[[#This Row],[loan_applications.loan_amount]]*(Merge1[[#This Row],[loan_applications.interest_rate]]/100)*(Merge1[[#This Row],[loan_applications.term_months]]/12),0)</f>
        <v>15066.15</v>
      </c>
      <c r="AA413" s="5">
        <f>IF(Merge1[[#This Row],[loan_applications.defaulted]]=1,Merge1[[#This Row],[loan_applications.loan_amount]],0)</f>
        <v>0</v>
      </c>
    </row>
    <row r="414" spans="1:27" x14ac:dyDescent="0.35">
      <c r="A414" t="s">
        <v>825</v>
      </c>
      <c r="B414" t="s">
        <v>826</v>
      </c>
      <c r="C414" s="1">
        <v>45538</v>
      </c>
      <c r="D414">
        <v>44</v>
      </c>
      <c r="E414" t="s">
        <v>51</v>
      </c>
      <c r="F414" t="s">
        <v>32</v>
      </c>
      <c r="G414" t="s">
        <v>26</v>
      </c>
      <c r="H414">
        <v>20</v>
      </c>
      <c r="I414" s="5">
        <v>71191</v>
      </c>
      <c r="J414" t="str" cm="1">
        <f t="array" ref="J41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14">
        <v>830</v>
      </c>
      <c r="L414" t="s">
        <v>17</v>
      </c>
      <c r="M414">
        <v>0</v>
      </c>
      <c r="N414">
        <v>515</v>
      </c>
      <c r="O414" t="str" cm="1">
        <f t="array" ref="O41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14" t="s">
        <v>20</v>
      </c>
      <c r="Q414" s="5">
        <v>17000</v>
      </c>
      <c r="R414">
        <v>12</v>
      </c>
      <c r="S414">
        <v>8.58</v>
      </c>
      <c r="T414">
        <v>1483.37</v>
      </c>
      <c r="U414">
        <v>33.700000000000003</v>
      </c>
      <c r="V414" t="str" cm="1">
        <f t="array" ref="V41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14" t="s">
        <v>21</v>
      </c>
      <c r="X414">
        <v>0</v>
      </c>
      <c r="Y414">
        <v>0</v>
      </c>
      <c r="Z414" s="5">
        <f>IF(Merge1[[#This Row],[loan_applications.defaulted]]=0,Merge1[[#This Row],[loan_applications.loan_amount]]*(Merge1[[#This Row],[loan_applications.interest_rate]]/100)*(Merge1[[#This Row],[loan_applications.term_months]]/12),0)</f>
        <v>1458.6</v>
      </c>
      <c r="AA414" s="5">
        <f>IF(Merge1[[#This Row],[loan_applications.defaulted]]=1,Merge1[[#This Row],[loan_applications.loan_amount]],0)</f>
        <v>0</v>
      </c>
    </row>
    <row r="415" spans="1:27" x14ac:dyDescent="0.35">
      <c r="A415" t="s">
        <v>827</v>
      </c>
      <c r="B415" t="s">
        <v>828</v>
      </c>
      <c r="C415" s="1">
        <v>45626</v>
      </c>
      <c r="D415">
        <v>24</v>
      </c>
      <c r="E415" t="s">
        <v>67</v>
      </c>
      <c r="F415" t="s">
        <v>68</v>
      </c>
      <c r="G415" t="s">
        <v>26</v>
      </c>
      <c r="H415">
        <v>2</v>
      </c>
      <c r="I415" s="5">
        <v>73366</v>
      </c>
      <c r="J415" t="str" cm="1">
        <f t="array" ref="J41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15">
        <v>572</v>
      </c>
      <c r="L415" t="s">
        <v>27</v>
      </c>
      <c r="M415">
        <v>0</v>
      </c>
      <c r="N415">
        <v>534</v>
      </c>
      <c r="O415" t="str" cm="1">
        <f t="array" ref="O41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15" t="s">
        <v>54</v>
      </c>
      <c r="Q415" s="5">
        <v>36400</v>
      </c>
      <c r="R415">
        <v>24</v>
      </c>
      <c r="S415">
        <v>15.11</v>
      </c>
      <c r="T415">
        <v>1766.82</v>
      </c>
      <c r="U415">
        <v>37.6</v>
      </c>
      <c r="V415" t="str" cm="1">
        <f t="array" ref="V41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15" t="s">
        <v>41</v>
      </c>
      <c r="X415">
        <v>0</v>
      </c>
      <c r="Y415">
        <v>0</v>
      </c>
      <c r="Z415" s="5">
        <f>IF(Merge1[[#This Row],[loan_applications.defaulted]]=0,Merge1[[#This Row],[loan_applications.loan_amount]]*(Merge1[[#This Row],[loan_applications.interest_rate]]/100)*(Merge1[[#This Row],[loan_applications.term_months]]/12),0)</f>
        <v>11000.079999999998</v>
      </c>
      <c r="AA415" s="5">
        <f>IF(Merge1[[#This Row],[loan_applications.defaulted]]=1,Merge1[[#This Row],[loan_applications.loan_amount]],0)</f>
        <v>0</v>
      </c>
    </row>
    <row r="416" spans="1:27" x14ac:dyDescent="0.35">
      <c r="A416" t="s">
        <v>829</v>
      </c>
      <c r="B416" t="s">
        <v>830</v>
      </c>
      <c r="C416" s="1">
        <v>45795</v>
      </c>
      <c r="D416">
        <v>27</v>
      </c>
      <c r="E416" t="s">
        <v>203</v>
      </c>
      <c r="F416" t="s">
        <v>68</v>
      </c>
      <c r="G416" t="s">
        <v>75</v>
      </c>
      <c r="H416">
        <v>6</v>
      </c>
      <c r="I416" s="5">
        <v>42400</v>
      </c>
      <c r="J416" t="str" cm="1">
        <f t="array" ref="J41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16">
        <v>545</v>
      </c>
      <c r="L416" t="s">
        <v>17</v>
      </c>
      <c r="M416">
        <v>2</v>
      </c>
      <c r="N416">
        <v>943</v>
      </c>
      <c r="O416" t="str" cm="1">
        <f t="array" ref="O41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16" t="s">
        <v>20</v>
      </c>
      <c r="Q416" s="5">
        <v>34200</v>
      </c>
      <c r="R416">
        <v>24</v>
      </c>
      <c r="S416">
        <v>15.53</v>
      </c>
      <c r="T416">
        <v>1666.87</v>
      </c>
      <c r="U416">
        <v>73.900000000000006</v>
      </c>
      <c r="V416" t="str" cm="1">
        <f t="array" ref="V41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16" t="s">
        <v>24</v>
      </c>
      <c r="X416">
        <v>115</v>
      </c>
      <c r="Y416">
        <v>1</v>
      </c>
      <c r="Z41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16" s="5">
        <f>IF(Merge1[[#This Row],[loan_applications.defaulted]]=1,Merge1[[#This Row],[loan_applications.loan_amount]],0)</f>
        <v>34200</v>
      </c>
    </row>
    <row r="417" spans="1:27" x14ac:dyDescent="0.35">
      <c r="A417" t="s">
        <v>831</v>
      </c>
      <c r="B417" t="s">
        <v>832</v>
      </c>
      <c r="C417" s="1">
        <v>45682</v>
      </c>
      <c r="D417">
        <v>25</v>
      </c>
      <c r="E417" t="s">
        <v>109</v>
      </c>
      <c r="F417" t="s">
        <v>15</v>
      </c>
      <c r="G417" t="s">
        <v>26</v>
      </c>
      <c r="H417">
        <v>5</v>
      </c>
      <c r="I417" s="5">
        <v>29087</v>
      </c>
      <c r="J417" t="str" cm="1">
        <f t="array" ref="J41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17">
        <v>808</v>
      </c>
      <c r="L417" t="s">
        <v>17</v>
      </c>
      <c r="M417">
        <v>0</v>
      </c>
      <c r="N417">
        <v>462</v>
      </c>
      <c r="O417" t="str" cm="1">
        <f t="array" ref="O41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17" t="s">
        <v>71</v>
      </c>
      <c r="Q417" s="5">
        <v>22100</v>
      </c>
      <c r="R417">
        <v>36</v>
      </c>
      <c r="S417">
        <v>8.42</v>
      </c>
      <c r="T417">
        <v>696.82</v>
      </c>
      <c r="U417">
        <v>47.8</v>
      </c>
      <c r="V417" t="str" cm="1">
        <f t="array" ref="V41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17" t="s">
        <v>21</v>
      </c>
      <c r="X417">
        <v>0</v>
      </c>
      <c r="Y417">
        <v>0</v>
      </c>
      <c r="Z417" s="5">
        <f>IF(Merge1[[#This Row],[loan_applications.defaulted]]=0,Merge1[[#This Row],[loan_applications.loan_amount]]*(Merge1[[#This Row],[loan_applications.interest_rate]]/100)*(Merge1[[#This Row],[loan_applications.term_months]]/12),0)</f>
        <v>5582.46</v>
      </c>
      <c r="AA417" s="5">
        <f>IF(Merge1[[#This Row],[loan_applications.defaulted]]=1,Merge1[[#This Row],[loan_applications.loan_amount]],0)</f>
        <v>0</v>
      </c>
    </row>
    <row r="418" spans="1:27" x14ac:dyDescent="0.35">
      <c r="A418" t="s">
        <v>833</v>
      </c>
      <c r="B418" t="s">
        <v>832</v>
      </c>
      <c r="C418" s="1">
        <v>45406</v>
      </c>
      <c r="D418">
        <v>25</v>
      </c>
      <c r="E418" t="s">
        <v>109</v>
      </c>
      <c r="F418" t="s">
        <v>15</v>
      </c>
      <c r="G418" t="s">
        <v>26</v>
      </c>
      <c r="H418">
        <v>5</v>
      </c>
      <c r="I418" s="5">
        <v>29087</v>
      </c>
      <c r="J418" t="str" cm="1">
        <f t="array" ref="J41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18">
        <v>808</v>
      </c>
      <c r="L418" t="s">
        <v>17</v>
      </c>
      <c r="M418">
        <v>0</v>
      </c>
      <c r="N418">
        <v>462</v>
      </c>
      <c r="O418" t="str" cm="1">
        <f t="array" ref="O41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18" t="s">
        <v>23</v>
      </c>
      <c r="Q418" s="5">
        <v>9800</v>
      </c>
      <c r="R418">
        <v>12</v>
      </c>
      <c r="S418">
        <v>7.99</v>
      </c>
      <c r="T418">
        <v>852.44</v>
      </c>
      <c r="U418">
        <v>54.2</v>
      </c>
      <c r="V418" t="str" cm="1">
        <f t="array" ref="V41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18" t="s">
        <v>24</v>
      </c>
      <c r="X418">
        <v>78</v>
      </c>
      <c r="Y418">
        <v>1</v>
      </c>
      <c r="Z41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18" s="5">
        <f>IF(Merge1[[#This Row],[loan_applications.defaulted]]=1,Merge1[[#This Row],[loan_applications.loan_amount]],0)</f>
        <v>9800</v>
      </c>
    </row>
    <row r="419" spans="1:27" x14ac:dyDescent="0.35">
      <c r="A419" t="s">
        <v>834</v>
      </c>
      <c r="B419" t="s">
        <v>835</v>
      </c>
      <c r="C419" s="1">
        <v>45293</v>
      </c>
      <c r="D419">
        <v>37</v>
      </c>
      <c r="E419" t="s">
        <v>86</v>
      </c>
      <c r="F419" t="s">
        <v>15</v>
      </c>
      <c r="G419" t="s">
        <v>26</v>
      </c>
      <c r="H419">
        <v>4</v>
      </c>
      <c r="I419" s="5">
        <v>41748</v>
      </c>
      <c r="J419" t="str" cm="1">
        <f t="array" ref="J41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19">
        <v>781</v>
      </c>
      <c r="L419" t="s">
        <v>27</v>
      </c>
      <c r="M419">
        <v>1</v>
      </c>
      <c r="N419">
        <v>686</v>
      </c>
      <c r="O419" t="str" cm="1">
        <f t="array" ref="O41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19" t="s">
        <v>54</v>
      </c>
      <c r="Q419" s="5">
        <v>7000</v>
      </c>
      <c r="R419">
        <v>36</v>
      </c>
      <c r="S419">
        <v>11.75</v>
      </c>
      <c r="T419">
        <v>231.67</v>
      </c>
      <c r="U419">
        <v>26.4</v>
      </c>
      <c r="V419" t="str" cm="1">
        <f t="array" ref="V41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19" t="s">
        <v>41</v>
      </c>
      <c r="X419">
        <v>0</v>
      </c>
      <c r="Y419">
        <v>0</v>
      </c>
      <c r="Z419" s="5">
        <f>IF(Merge1[[#This Row],[loan_applications.defaulted]]=0,Merge1[[#This Row],[loan_applications.loan_amount]]*(Merge1[[#This Row],[loan_applications.interest_rate]]/100)*(Merge1[[#This Row],[loan_applications.term_months]]/12),0)</f>
        <v>2467.5</v>
      </c>
      <c r="AA419" s="5">
        <f>IF(Merge1[[#This Row],[loan_applications.defaulted]]=1,Merge1[[#This Row],[loan_applications.loan_amount]],0)</f>
        <v>0</v>
      </c>
    </row>
    <row r="420" spans="1:27" x14ac:dyDescent="0.35">
      <c r="A420" t="s">
        <v>836</v>
      </c>
      <c r="B420" t="s">
        <v>837</v>
      </c>
      <c r="C420" s="1">
        <v>45519</v>
      </c>
      <c r="D420">
        <v>64</v>
      </c>
      <c r="E420" t="s">
        <v>42</v>
      </c>
      <c r="F420" t="s">
        <v>32</v>
      </c>
      <c r="G420" t="s">
        <v>26</v>
      </c>
      <c r="H420">
        <v>10</v>
      </c>
      <c r="I420" s="5">
        <v>46787</v>
      </c>
      <c r="J420" t="str" cm="1">
        <f t="array" ref="J42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20">
        <v>635</v>
      </c>
      <c r="L420" t="s">
        <v>34</v>
      </c>
      <c r="M420">
        <v>1</v>
      </c>
      <c r="N420">
        <v>420</v>
      </c>
      <c r="O420" t="str" cm="1">
        <f t="array" ref="O42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20" t="s">
        <v>23</v>
      </c>
      <c r="Q420" s="5">
        <v>12900</v>
      </c>
      <c r="R420">
        <v>24</v>
      </c>
      <c r="S420">
        <v>12.02</v>
      </c>
      <c r="T420">
        <v>607.37</v>
      </c>
      <c r="U420">
        <v>26.4</v>
      </c>
      <c r="V420" t="str" cm="1">
        <f t="array" ref="V42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20" t="s">
        <v>24</v>
      </c>
      <c r="X420">
        <v>32</v>
      </c>
      <c r="Y420">
        <v>1</v>
      </c>
      <c r="Z42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20" s="5">
        <f>IF(Merge1[[#This Row],[loan_applications.defaulted]]=1,Merge1[[#This Row],[loan_applications.loan_amount]],0)</f>
        <v>12900</v>
      </c>
    </row>
    <row r="421" spans="1:27" x14ac:dyDescent="0.35">
      <c r="A421" t="s">
        <v>838</v>
      </c>
      <c r="B421" t="s">
        <v>839</v>
      </c>
      <c r="C421" s="1">
        <v>45803</v>
      </c>
      <c r="D421">
        <v>47</v>
      </c>
      <c r="E421" t="s">
        <v>139</v>
      </c>
      <c r="F421" t="s">
        <v>32</v>
      </c>
      <c r="G421" t="s">
        <v>33</v>
      </c>
      <c r="H421">
        <v>17</v>
      </c>
      <c r="I421" s="5">
        <v>57507</v>
      </c>
      <c r="J421" t="str" cm="1">
        <f t="array" ref="J42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21">
        <v>850</v>
      </c>
      <c r="L421" t="s">
        <v>34</v>
      </c>
      <c r="M421">
        <v>3</v>
      </c>
      <c r="N421">
        <v>1124</v>
      </c>
      <c r="O421" t="str" cm="1">
        <f t="array" ref="O42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1" t="s">
        <v>20</v>
      </c>
      <c r="Q421" s="5">
        <v>32200</v>
      </c>
      <c r="R421">
        <v>36</v>
      </c>
      <c r="S421">
        <v>10.02</v>
      </c>
      <c r="T421">
        <v>1039.31</v>
      </c>
      <c r="U421">
        <v>45.1</v>
      </c>
      <c r="V421" t="str" cm="1">
        <f t="array" ref="V42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21" t="s">
        <v>41</v>
      </c>
      <c r="X421">
        <v>0</v>
      </c>
      <c r="Y421">
        <v>0</v>
      </c>
      <c r="Z421" s="5">
        <f>IF(Merge1[[#This Row],[loan_applications.defaulted]]=0,Merge1[[#This Row],[loan_applications.loan_amount]]*(Merge1[[#This Row],[loan_applications.interest_rate]]/100)*(Merge1[[#This Row],[loan_applications.term_months]]/12),0)</f>
        <v>9679.32</v>
      </c>
      <c r="AA421" s="5">
        <f>IF(Merge1[[#This Row],[loan_applications.defaulted]]=1,Merge1[[#This Row],[loan_applications.loan_amount]],0)</f>
        <v>0</v>
      </c>
    </row>
    <row r="422" spans="1:27" x14ac:dyDescent="0.35">
      <c r="A422" t="s">
        <v>840</v>
      </c>
      <c r="B422" t="s">
        <v>841</v>
      </c>
      <c r="C422" s="1">
        <v>45781</v>
      </c>
      <c r="D422">
        <v>50</v>
      </c>
      <c r="E422" t="s">
        <v>169</v>
      </c>
      <c r="F422" t="s">
        <v>15</v>
      </c>
      <c r="G422" t="s">
        <v>26</v>
      </c>
      <c r="H422">
        <v>18</v>
      </c>
      <c r="I422" s="5">
        <v>31671</v>
      </c>
      <c r="J422" t="str" cm="1">
        <f t="array" ref="J42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22">
        <v>662</v>
      </c>
      <c r="L422" t="s">
        <v>27</v>
      </c>
      <c r="M422">
        <v>2</v>
      </c>
      <c r="N422">
        <v>259</v>
      </c>
      <c r="O422" t="str" cm="1">
        <f t="array" ref="O42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22" t="s">
        <v>60</v>
      </c>
      <c r="Q422" s="5">
        <v>11300</v>
      </c>
      <c r="R422">
        <v>12</v>
      </c>
      <c r="S422">
        <v>10.33</v>
      </c>
      <c r="T422">
        <v>995.18</v>
      </c>
      <c r="U422">
        <v>47.5</v>
      </c>
      <c r="V422" t="str" cm="1">
        <f t="array" ref="V42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22" t="s">
        <v>41</v>
      </c>
      <c r="X422">
        <v>0</v>
      </c>
      <c r="Y422">
        <v>0</v>
      </c>
      <c r="Z422" s="5">
        <f>IF(Merge1[[#This Row],[loan_applications.defaulted]]=0,Merge1[[#This Row],[loan_applications.loan_amount]]*(Merge1[[#This Row],[loan_applications.interest_rate]]/100)*(Merge1[[#This Row],[loan_applications.term_months]]/12),0)</f>
        <v>1167.29</v>
      </c>
      <c r="AA422" s="5">
        <f>IF(Merge1[[#This Row],[loan_applications.defaulted]]=1,Merge1[[#This Row],[loan_applications.loan_amount]],0)</f>
        <v>0</v>
      </c>
    </row>
    <row r="423" spans="1:27" x14ac:dyDescent="0.35">
      <c r="A423" t="s">
        <v>842</v>
      </c>
      <c r="B423" t="s">
        <v>843</v>
      </c>
      <c r="C423" s="1">
        <v>45522</v>
      </c>
      <c r="D423">
        <v>64</v>
      </c>
      <c r="E423" t="s">
        <v>46</v>
      </c>
      <c r="F423" t="s">
        <v>68</v>
      </c>
      <c r="G423" t="s">
        <v>26</v>
      </c>
      <c r="H423">
        <v>14</v>
      </c>
      <c r="I423" s="5">
        <v>74246</v>
      </c>
      <c r="J423" t="str" cm="1">
        <f t="array" ref="J42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23">
        <v>836</v>
      </c>
      <c r="L423" t="s">
        <v>34</v>
      </c>
      <c r="M423">
        <v>1</v>
      </c>
      <c r="N423">
        <v>1926</v>
      </c>
      <c r="O423" t="str" cm="1">
        <f t="array" ref="O42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3" t="s">
        <v>60</v>
      </c>
      <c r="Q423" s="5">
        <v>18000</v>
      </c>
      <c r="R423">
        <v>24</v>
      </c>
      <c r="S423">
        <v>10.31</v>
      </c>
      <c r="T423">
        <v>833.19</v>
      </c>
      <c r="U423">
        <v>44.6</v>
      </c>
      <c r="V423" t="str" cm="1">
        <f t="array" ref="V42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23" t="s">
        <v>21</v>
      </c>
      <c r="X423">
        <v>0</v>
      </c>
      <c r="Y423">
        <v>0</v>
      </c>
      <c r="Z423" s="5">
        <f>IF(Merge1[[#This Row],[loan_applications.defaulted]]=0,Merge1[[#This Row],[loan_applications.loan_amount]]*(Merge1[[#This Row],[loan_applications.interest_rate]]/100)*(Merge1[[#This Row],[loan_applications.term_months]]/12),0)</f>
        <v>3711.6000000000004</v>
      </c>
      <c r="AA423" s="5">
        <f>IF(Merge1[[#This Row],[loan_applications.defaulted]]=1,Merge1[[#This Row],[loan_applications.loan_amount]],0)</f>
        <v>0</v>
      </c>
    </row>
    <row r="424" spans="1:27" x14ac:dyDescent="0.35">
      <c r="A424" t="s">
        <v>844</v>
      </c>
      <c r="B424" t="s">
        <v>843</v>
      </c>
      <c r="C424" s="1">
        <v>45455</v>
      </c>
      <c r="D424">
        <v>64</v>
      </c>
      <c r="E424" t="s">
        <v>46</v>
      </c>
      <c r="F424" t="s">
        <v>68</v>
      </c>
      <c r="G424" t="s">
        <v>26</v>
      </c>
      <c r="H424">
        <v>14</v>
      </c>
      <c r="I424" s="5">
        <v>74246</v>
      </c>
      <c r="J424" t="str" cm="1">
        <f t="array" ref="J42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24">
        <v>836</v>
      </c>
      <c r="L424" t="s">
        <v>34</v>
      </c>
      <c r="M424">
        <v>1</v>
      </c>
      <c r="N424">
        <v>1926</v>
      </c>
      <c r="O424" t="str" cm="1">
        <f t="array" ref="O42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4" t="s">
        <v>50</v>
      </c>
      <c r="Q424" s="5">
        <v>36900</v>
      </c>
      <c r="R424">
        <v>36</v>
      </c>
      <c r="S424">
        <v>10.99</v>
      </c>
      <c r="T424">
        <v>1207.8800000000001</v>
      </c>
      <c r="U424">
        <v>50.7</v>
      </c>
      <c r="V424" t="str" cm="1">
        <f t="array" ref="V42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24" t="s">
        <v>41</v>
      </c>
      <c r="X424">
        <v>0</v>
      </c>
      <c r="Y424">
        <v>0</v>
      </c>
      <c r="Z424" s="5">
        <f>IF(Merge1[[#This Row],[loan_applications.defaulted]]=0,Merge1[[#This Row],[loan_applications.loan_amount]]*(Merge1[[#This Row],[loan_applications.interest_rate]]/100)*(Merge1[[#This Row],[loan_applications.term_months]]/12),0)</f>
        <v>12165.93</v>
      </c>
      <c r="AA424" s="5">
        <f>IF(Merge1[[#This Row],[loan_applications.defaulted]]=1,Merge1[[#This Row],[loan_applications.loan_amount]],0)</f>
        <v>0</v>
      </c>
    </row>
    <row r="425" spans="1:27" x14ac:dyDescent="0.35">
      <c r="A425" t="s">
        <v>845</v>
      </c>
      <c r="B425" t="s">
        <v>846</v>
      </c>
      <c r="C425" s="1">
        <v>45581</v>
      </c>
      <c r="D425">
        <v>56</v>
      </c>
      <c r="E425" t="s">
        <v>67</v>
      </c>
      <c r="F425" t="s">
        <v>32</v>
      </c>
      <c r="G425" t="s">
        <v>75</v>
      </c>
      <c r="H425">
        <v>30</v>
      </c>
      <c r="I425" s="5">
        <v>46283</v>
      </c>
      <c r="J425" t="str" cm="1">
        <f t="array" ref="J42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25">
        <v>650</v>
      </c>
      <c r="L425" t="s">
        <v>34</v>
      </c>
      <c r="M425">
        <v>3</v>
      </c>
      <c r="N425">
        <v>1570</v>
      </c>
      <c r="O425" t="str" cm="1">
        <f t="array" ref="O42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25" t="s">
        <v>45</v>
      </c>
      <c r="Q425" s="5">
        <v>20800</v>
      </c>
      <c r="R425">
        <v>60</v>
      </c>
      <c r="S425">
        <v>12.8</v>
      </c>
      <c r="T425">
        <v>471.14</v>
      </c>
      <c r="U425">
        <v>52.9</v>
      </c>
      <c r="V425" t="str" cm="1">
        <f t="array" ref="V42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25" t="s">
        <v>21</v>
      </c>
      <c r="X425">
        <v>0</v>
      </c>
      <c r="Y425">
        <v>0</v>
      </c>
      <c r="Z425" s="5">
        <f>IF(Merge1[[#This Row],[loan_applications.defaulted]]=0,Merge1[[#This Row],[loan_applications.loan_amount]]*(Merge1[[#This Row],[loan_applications.interest_rate]]/100)*(Merge1[[#This Row],[loan_applications.term_months]]/12),0)</f>
        <v>13312</v>
      </c>
      <c r="AA425" s="5">
        <f>IF(Merge1[[#This Row],[loan_applications.defaulted]]=1,Merge1[[#This Row],[loan_applications.loan_amount]],0)</f>
        <v>0</v>
      </c>
    </row>
    <row r="426" spans="1:27" x14ac:dyDescent="0.35">
      <c r="A426" t="s">
        <v>847</v>
      </c>
      <c r="B426" t="s">
        <v>848</v>
      </c>
      <c r="C426" s="1">
        <v>45603</v>
      </c>
      <c r="D426">
        <v>54</v>
      </c>
      <c r="E426" t="s">
        <v>169</v>
      </c>
      <c r="F426" t="s">
        <v>32</v>
      </c>
      <c r="G426" t="s">
        <v>26</v>
      </c>
      <c r="H426">
        <v>9</v>
      </c>
      <c r="I426" s="5">
        <v>77060</v>
      </c>
      <c r="J426" t="str" cm="1">
        <f t="array" ref="J42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26">
        <v>850</v>
      </c>
      <c r="L426" t="s">
        <v>27</v>
      </c>
      <c r="M426">
        <v>1</v>
      </c>
      <c r="N426">
        <v>3368</v>
      </c>
      <c r="O426" t="str" cm="1">
        <f t="array" ref="O42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6" t="s">
        <v>50</v>
      </c>
      <c r="Q426" s="5">
        <v>40000</v>
      </c>
      <c r="R426">
        <v>12</v>
      </c>
      <c r="S426">
        <v>10.08</v>
      </c>
      <c r="T426">
        <v>3518.12</v>
      </c>
      <c r="U426">
        <v>107.2</v>
      </c>
      <c r="V426" t="str" cm="1">
        <f t="array" ref="V42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26" t="s">
        <v>41</v>
      </c>
      <c r="X426">
        <v>0</v>
      </c>
      <c r="Y426">
        <v>0</v>
      </c>
      <c r="Z426" s="5">
        <f>IF(Merge1[[#This Row],[loan_applications.defaulted]]=0,Merge1[[#This Row],[loan_applications.loan_amount]]*(Merge1[[#This Row],[loan_applications.interest_rate]]/100)*(Merge1[[#This Row],[loan_applications.term_months]]/12),0)</f>
        <v>4032</v>
      </c>
      <c r="AA426" s="5">
        <f>IF(Merge1[[#This Row],[loan_applications.defaulted]]=1,Merge1[[#This Row],[loan_applications.loan_amount]],0)</f>
        <v>0</v>
      </c>
    </row>
    <row r="427" spans="1:27" x14ac:dyDescent="0.35">
      <c r="A427" t="s">
        <v>849</v>
      </c>
      <c r="B427" t="s">
        <v>850</v>
      </c>
      <c r="C427" s="1">
        <v>45301</v>
      </c>
      <c r="D427">
        <v>32</v>
      </c>
      <c r="E427" t="s">
        <v>92</v>
      </c>
      <c r="F427" t="s">
        <v>47</v>
      </c>
      <c r="G427" t="s">
        <v>33</v>
      </c>
      <c r="H427">
        <v>1</v>
      </c>
      <c r="I427" s="5">
        <v>79686</v>
      </c>
      <c r="J427" t="str" cm="1">
        <f t="array" ref="J42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27">
        <v>751</v>
      </c>
      <c r="L427" t="s">
        <v>17</v>
      </c>
      <c r="M427">
        <v>0</v>
      </c>
      <c r="N427">
        <v>3063</v>
      </c>
      <c r="O427" t="str" cm="1">
        <f t="array" ref="O42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7" t="s">
        <v>37</v>
      </c>
      <c r="Q427" s="5">
        <v>12100</v>
      </c>
      <c r="R427">
        <v>24</v>
      </c>
      <c r="S427">
        <v>11.16</v>
      </c>
      <c r="T427">
        <v>564.85</v>
      </c>
      <c r="U427">
        <v>54.6</v>
      </c>
      <c r="V427" t="str" cm="1">
        <f t="array" ref="V42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27" t="s">
        <v>91</v>
      </c>
      <c r="X427">
        <v>15</v>
      </c>
      <c r="Y427">
        <v>0</v>
      </c>
      <c r="Z427" s="5">
        <f>IF(Merge1[[#This Row],[loan_applications.defaulted]]=0,Merge1[[#This Row],[loan_applications.loan_amount]]*(Merge1[[#This Row],[loan_applications.interest_rate]]/100)*(Merge1[[#This Row],[loan_applications.term_months]]/12),0)</f>
        <v>2700.7200000000003</v>
      </c>
      <c r="AA427" s="5">
        <f>IF(Merge1[[#This Row],[loan_applications.defaulted]]=1,Merge1[[#This Row],[loan_applications.loan_amount]],0)</f>
        <v>0</v>
      </c>
    </row>
    <row r="428" spans="1:27" x14ac:dyDescent="0.35">
      <c r="A428" t="s">
        <v>851</v>
      </c>
      <c r="B428" t="s">
        <v>852</v>
      </c>
      <c r="C428" s="1">
        <v>45390</v>
      </c>
      <c r="D428">
        <v>31</v>
      </c>
      <c r="E428" t="s">
        <v>67</v>
      </c>
      <c r="F428" t="s">
        <v>62</v>
      </c>
      <c r="G428" t="s">
        <v>26</v>
      </c>
      <c r="H428">
        <v>1</v>
      </c>
      <c r="I428" s="5">
        <v>132747</v>
      </c>
      <c r="J428" t="str" cm="1">
        <f t="array" ref="J42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28">
        <v>584</v>
      </c>
      <c r="L428" t="s">
        <v>34</v>
      </c>
      <c r="M428">
        <v>2</v>
      </c>
      <c r="N428">
        <v>5291</v>
      </c>
      <c r="O428" t="str" cm="1">
        <f t="array" ref="O42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28" t="s">
        <v>50</v>
      </c>
      <c r="Q428" s="5">
        <v>49200</v>
      </c>
      <c r="R428">
        <v>24</v>
      </c>
      <c r="S428">
        <v>14.9</v>
      </c>
      <c r="T428">
        <v>2383.21</v>
      </c>
      <c r="U428">
        <v>69.400000000000006</v>
      </c>
      <c r="V428" t="str" cm="1">
        <f t="array" ref="V42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28" t="s">
        <v>24</v>
      </c>
      <c r="X428">
        <v>151</v>
      </c>
      <c r="Y428">
        <v>1</v>
      </c>
      <c r="Z42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28" s="5">
        <f>IF(Merge1[[#This Row],[loan_applications.defaulted]]=1,Merge1[[#This Row],[loan_applications.loan_amount]],0)</f>
        <v>49200</v>
      </c>
    </row>
    <row r="429" spans="1:27" x14ac:dyDescent="0.35">
      <c r="A429" t="s">
        <v>853</v>
      </c>
      <c r="B429" t="s">
        <v>854</v>
      </c>
      <c r="C429" s="1">
        <v>45444</v>
      </c>
      <c r="D429">
        <v>55</v>
      </c>
      <c r="E429" t="s">
        <v>74</v>
      </c>
      <c r="F429" t="s">
        <v>32</v>
      </c>
      <c r="G429" t="s">
        <v>33</v>
      </c>
      <c r="H429">
        <v>33</v>
      </c>
      <c r="I429" s="5">
        <v>90781</v>
      </c>
      <c r="J429" t="str" cm="1">
        <f t="array" ref="J42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29">
        <v>850</v>
      </c>
      <c r="L429" t="s">
        <v>17</v>
      </c>
      <c r="M429">
        <v>1</v>
      </c>
      <c r="N429">
        <v>938</v>
      </c>
      <c r="O429" t="str" cm="1">
        <f t="array" ref="O42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29" t="s">
        <v>60</v>
      </c>
      <c r="Q429" s="5">
        <v>21600</v>
      </c>
      <c r="R429">
        <v>36</v>
      </c>
      <c r="S429">
        <v>8.8000000000000007</v>
      </c>
      <c r="T429">
        <v>684.87</v>
      </c>
      <c r="U429">
        <v>21.5</v>
      </c>
      <c r="V429" t="str" cm="1">
        <f t="array" ref="V42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29" t="s">
        <v>41</v>
      </c>
      <c r="X429">
        <v>0</v>
      </c>
      <c r="Y429">
        <v>0</v>
      </c>
      <c r="Z429" s="5">
        <f>IF(Merge1[[#This Row],[loan_applications.defaulted]]=0,Merge1[[#This Row],[loan_applications.loan_amount]]*(Merge1[[#This Row],[loan_applications.interest_rate]]/100)*(Merge1[[#This Row],[loan_applications.term_months]]/12),0)</f>
        <v>5702.4000000000005</v>
      </c>
      <c r="AA429" s="5">
        <f>IF(Merge1[[#This Row],[loan_applications.defaulted]]=1,Merge1[[#This Row],[loan_applications.loan_amount]],0)</f>
        <v>0</v>
      </c>
    </row>
    <row r="430" spans="1:27" x14ac:dyDescent="0.35">
      <c r="A430" t="s">
        <v>855</v>
      </c>
      <c r="B430" t="s">
        <v>856</v>
      </c>
      <c r="C430" s="1">
        <v>45676</v>
      </c>
      <c r="D430">
        <v>59</v>
      </c>
      <c r="E430" t="s">
        <v>330</v>
      </c>
      <c r="F430" t="s">
        <v>32</v>
      </c>
      <c r="G430" t="s">
        <v>75</v>
      </c>
      <c r="H430">
        <v>6</v>
      </c>
      <c r="I430" s="5">
        <v>28195</v>
      </c>
      <c r="J430" t="str" cm="1">
        <f t="array" ref="J43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30">
        <v>579</v>
      </c>
      <c r="L430" t="s">
        <v>17</v>
      </c>
      <c r="M430">
        <v>1</v>
      </c>
      <c r="N430">
        <v>521</v>
      </c>
      <c r="O430" t="str" cm="1">
        <f t="array" ref="O43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30" t="s">
        <v>20</v>
      </c>
      <c r="Q430" s="5">
        <v>12000</v>
      </c>
      <c r="R430">
        <v>24</v>
      </c>
      <c r="S430">
        <v>13.61</v>
      </c>
      <c r="T430">
        <v>573.95000000000005</v>
      </c>
      <c r="U430">
        <v>46.6</v>
      </c>
      <c r="V430" t="str" cm="1">
        <f t="array" ref="V43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30" t="s">
        <v>91</v>
      </c>
      <c r="X430">
        <v>30</v>
      </c>
      <c r="Y430">
        <v>0</v>
      </c>
      <c r="Z430" s="5">
        <f>IF(Merge1[[#This Row],[loan_applications.defaulted]]=0,Merge1[[#This Row],[loan_applications.loan_amount]]*(Merge1[[#This Row],[loan_applications.interest_rate]]/100)*(Merge1[[#This Row],[loan_applications.term_months]]/12),0)</f>
        <v>3266.4</v>
      </c>
      <c r="AA430" s="5">
        <f>IF(Merge1[[#This Row],[loan_applications.defaulted]]=1,Merge1[[#This Row],[loan_applications.loan_amount]],0)</f>
        <v>0</v>
      </c>
    </row>
    <row r="431" spans="1:27" x14ac:dyDescent="0.35">
      <c r="A431" t="s">
        <v>857</v>
      </c>
      <c r="B431" t="s">
        <v>858</v>
      </c>
      <c r="C431" s="1">
        <v>45747</v>
      </c>
      <c r="D431">
        <v>48</v>
      </c>
      <c r="E431" t="s">
        <v>67</v>
      </c>
      <c r="F431" t="s">
        <v>68</v>
      </c>
      <c r="G431" t="s">
        <v>16</v>
      </c>
      <c r="H431">
        <v>1</v>
      </c>
      <c r="I431" s="5">
        <v>55827</v>
      </c>
      <c r="J431" t="str" cm="1">
        <f t="array" ref="J43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31">
        <v>772</v>
      </c>
      <c r="L431" t="s">
        <v>27</v>
      </c>
      <c r="M431">
        <v>0</v>
      </c>
      <c r="N431">
        <v>1648</v>
      </c>
      <c r="O431" t="str" cm="1">
        <f t="array" ref="O43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31" t="s">
        <v>20</v>
      </c>
      <c r="Q431" s="5">
        <v>33200</v>
      </c>
      <c r="R431">
        <v>36</v>
      </c>
      <c r="S431">
        <v>10.3</v>
      </c>
      <c r="T431">
        <v>1075.95</v>
      </c>
      <c r="U431">
        <v>58.6</v>
      </c>
      <c r="V431" t="str" cm="1">
        <f t="array" ref="V43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31" t="s">
        <v>41</v>
      </c>
      <c r="X431">
        <v>0</v>
      </c>
      <c r="Y431">
        <v>0</v>
      </c>
      <c r="Z431" s="5">
        <f>IF(Merge1[[#This Row],[loan_applications.defaulted]]=0,Merge1[[#This Row],[loan_applications.loan_amount]]*(Merge1[[#This Row],[loan_applications.interest_rate]]/100)*(Merge1[[#This Row],[loan_applications.term_months]]/12),0)</f>
        <v>10258.800000000001</v>
      </c>
      <c r="AA431" s="5">
        <f>IF(Merge1[[#This Row],[loan_applications.defaulted]]=1,Merge1[[#This Row],[loan_applications.loan_amount]],0)</f>
        <v>0</v>
      </c>
    </row>
    <row r="432" spans="1:27" x14ac:dyDescent="0.35">
      <c r="A432" t="s">
        <v>859</v>
      </c>
      <c r="B432" t="s">
        <v>860</v>
      </c>
      <c r="C432" s="1">
        <v>45388</v>
      </c>
      <c r="D432">
        <v>66</v>
      </c>
      <c r="E432" t="s">
        <v>61</v>
      </c>
      <c r="F432" t="s">
        <v>32</v>
      </c>
      <c r="G432" t="s">
        <v>26</v>
      </c>
      <c r="H432">
        <v>3</v>
      </c>
      <c r="I432" s="5">
        <v>96677</v>
      </c>
      <c r="J432" t="str" cm="1">
        <f t="array" ref="J43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32">
        <v>661</v>
      </c>
      <c r="L432" t="s">
        <v>17</v>
      </c>
      <c r="M432">
        <v>0</v>
      </c>
      <c r="N432">
        <v>1903</v>
      </c>
      <c r="O432" t="str" cm="1">
        <f t="array" ref="O43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32" t="s">
        <v>30</v>
      </c>
      <c r="Q432" s="5">
        <v>30200</v>
      </c>
      <c r="R432">
        <v>60</v>
      </c>
      <c r="S432">
        <v>11.38</v>
      </c>
      <c r="T432">
        <v>662.36</v>
      </c>
      <c r="U432">
        <v>31.8</v>
      </c>
      <c r="V432" t="str" cm="1">
        <f t="array" ref="V43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32" t="s">
        <v>41</v>
      </c>
      <c r="X432">
        <v>0</v>
      </c>
      <c r="Y432">
        <v>0</v>
      </c>
      <c r="Z432" s="5">
        <f>IF(Merge1[[#This Row],[loan_applications.defaulted]]=0,Merge1[[#This Row],[loan_applications.loan_amount]]*(Merge1[[#This Row],[loan_applications.interest_rate]]/100)*(Merge1[[#This Row],[loan_applications.term_months]]/12),0)</f>
        <v>17183.800000000003</v>
      </c>
      <c r="AA432" s="5">
        <f>IF(Merge1[[#This Row],[loan_applications.defaulted]]=1,Merge1[[#This Row],[loan_applications.loan_amount]],0)</f>
        <v>0</v>
      </c>
    </row>
    <row r="433" spans="1:27" x14ac:dyDescent="0.35">
      <c r="A433" t="s">
        <v>861</v>
      </c>
      <c r="B433" t="s">
        <v>862</v>
      </c>
      <c r="C433" s="1">
        <v>45481</v>
      </c>
      <c r="D433">
        <v>43</v>
      </c>
      <c r="E433" t="s">
        <v>330</v>
      </c>
      <c r="F433" t="s">
        <v>62</v>
      </c>
      <c r="G433" t="s">
        <v>26</v>
      </c>
      <c r="H433">
        <v>22</v>
      </c>
      <c r="I433" s="5">
        <v>78653</v>
      </c>
      <c r="J433" t="str" cm="1">
        <f t="array" ref="J43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33">
        <v>786</v>
      </c>
      <c r="L433" t="s">
        <v>17</v>
      </c>
      <c r="M433">
        <v>0</v>
      </c>
      <c r="N433">
        <v>1312</v>
      </c>
      <c r="O433" t="str" cm="1">
        <f t="array" ref="O43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33" t="s">
        <v>23</v>
      </c>
      <c r="Q433" s="5">
        <v>8000</v>
      </c>
      <c r="R433">
        <v>36</v>
      </c>
      <c r="S433">
        <v>7.22</v>
      </c>
      <c r="T433">
        <v>247.82</v>
      </c>
      <c r="U433">
        <v>23.8</v>
      </c>
      <c r="V433" t="str" cm="1">
        <f t="array" ref="V43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33" t="s">
        <v>41</v>
      </c>
      <c r="X433">
        <v>0</v>
      </c>
      <c r="Y433">
        <v>0</v>
      </c>
      <c r="Z433" s="5">
        <f>IF(Merge1[[#This Row],[loan_applications.defaulted]]=0,Merge1[[#This Row],[loan_applications.loan_amount]]*(Merge1[[#This Row],[loan_applications.interest_rate]]/100)*(Merge1[[#This Row],[loan_applications.term_months]]/12),0)</f>
        <v>1732.8000000000002</v>
      </c>
      <c r="AA433" s="5">
        <f>IF(Merge1[[#This Row],[loan_applications.defaulted]]=1,Merge1[[#This Row],[loan_applications.loan_amount]],0)</f>
        <v>0</v>
      </c>
    </row>
    <row r="434" spans="1:27" x14ac:dyDescent="0.35">
      <c r="A434" t="s">
        <v>863</v>
      </c>
      <c r="B434" t="s">
        <v>864</v>
      </c>
      <c r="C434" s="1">
        <v>45419</v>
      </c>
      <c r="D434">
        <v>50</v>
      </c>
      <c r="E434" t="s">
        <v>95</v>
      </c>
      <c r="F434" t="s">
        <v>62</v>
      </c>
      <c r="G434" t="s">
        <v>26</v>
      </c>
      <c r="H434">
        <v>20</v>
      </c>
      <c r="I434" s="5">
        <v>117130</v>
      </c>
      <c r="J434" t="str" cm="1">
        <f t="array" ref="J43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34">
        <v>850</v>
      </c>
      <c r="L434" t="s">
        <v>27</v>
      </c>
      <c r="M434">
        <v>0</v>
      </c>
      <c r="N434">
        <v>4509</v>
      </c>
      <c r="O434" t="str" cm="1">
        <f t="array" ref="O43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34" t="s">
        <v>30</v>
      </c>
      <c r="Q434" s="5">
        <v>26900</v>
      </c>
      <c r="R434">
        <v>60</v>
      </c>
      <c r="S434">
        <v>8.5299999999999994</v>
      </c>
      <c r="T434">
        <v>552.28</v>
      </c>
      <c r="U434">
        <v>51.9</v>
      </c>
      <c r="V434" t="str" cm="1">
        <f t="array" ref="V43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34" t="s">
        <v>91</v>
      </c>
      <c r="X434">
        <v>0</v>
      </c>
      <c r="Y434">
        <v>0</v>
      </c>
      <c r="Z434" s="5">
        <f>IF(Merge1[[#This Row],[loan_applications.defaulted]]=0,Merge1[[#This Row],[loan_applications.loan_amount]]*(Merge1[[#This Row],[loan_applications.interest_rate]]/100)*(Merge1[[#This Row],[loan_applications.term_months]]/12),0)</f>
        <v>11472.849999999999</v>
      </c>
      <c r="AA434" s="5">
        <f>IF(Merge1[[#This Row],[loan_applications.defaulted]]=1,Merge1[[#This Row],[loan_applications.loan_amount]],0)</f>
        <v>0</v>
      </c>
    </row>
    <row r="435" spans="1:27" x14ac:dyDescent="0.35">
      <c r="A435" t="s">
        <v>865</v>
      </c>
      <c r="B435" t="s">
        <v>864</v>
      </c>
      <c r="C435" s="1">
        <v>45749</v>
      </c>
      <c r="D435">
        <v>50</v>
      </c>
      <c r="E435" t="s">
        <v>95</v>
      </c>
      <c r="F435" t="s">
        <v>62</v>
      </c>
      <c r="G435" t="s">
        <v>26</v>
      </c>
      <c r="H435">
        <v>20</v>
      </c>
      <c r="I435" s="5">
        <v>117130</v>
      </c>
      <c r="J435" t="str" cm="1">
        <f t="array" ref="J43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35">
        <v>850</v>
      </c>
      <c r="L435" t="s">
        <v>27</v>
      </c>
      <c r="M435">
        <v>0</v>
      </c>
      <c r="N435">
        <v>4509</v>
      </c>
      <c r="O435" t="str" cm="1">
        <f t="array" ref="O43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35" t="s">
        <v>54</v>
      </c>
      <c r="Q435" s="5">
        <v>30800</v>
      </c>
      <c r="R435">
        <v>24</v>
      </c>
      <c r="S435">
        <v>5.86</v>
      </c>
      <c r="T435">
        <v>1363.13</v>
      </c>
      <c r="U435">
        <v>60.2</v>
      </c>
      <c r="V435" t="str" cm="1">
        <f t="array" ref="V43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35" t="s">
        <v>41</v>
      </c>
      <c r="X435">
        <v>0</v>
      </c>
      <c r="Y435">
        <v>0</v>
      </c>
      <c r="Z435" s="5">
        <f>IF(Merge1[[#This Row],[loan_applications.defaulted]]=0,Merge1[[#This Row],[loan_applications.loan_amount]]*(Merge1[[#This Row],[loan_applications.interest_rate]]/100)*(Merge1[[#This Row],[loan_applications.term_months]]/12),0)</f>
        <v>3609.76</v>
      </c>
      <c r="AA435" s="5">
        <f>IF(Merge1[[#This Row],[loan_applications.defaulted]]=1,Merge1[[#This Row],[loan_applications.loan_amount]],0)</f>
        <v>0</v>
      </c>
    </row>
    <row r="436" spans="1:27" x14ac:dyDescent="0.35">
      <c r="A436" t="s">
        <v>866</v>
      </c>
      <c r="B436" t="s">
        <v>867</v>
      </c>
      <c r="C436" s="1">
        <v>45419</v>
      </c>
      <c r="D436">
        <v>53</v>
      </c>
      <c r="E436" t="s">
        <v>162</v>
      </c>
      <c r="F436" t="s">
        <v>62</v>
      </c>
      <c r="G436" t="s">
        <v>33</v>
      </c>
      <c r="H436">
        <v>10</v>
      </c>
      <c r="I436" s="5">
        <v>125043</v>
      </c>
      <c r="J436" t="str" cm="1">
        <f t="array" ref="J43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36">
        <v>813</v>
      </c>
      <c r="L436" t="s">
        <v>27</v>
      </c>
      <c r="M436">
        <v>1</v>
      </c>
      <c r="N436">
        <v>1227</v>
      </c>
      <c r="O436" t="str" cm="1">
        <f t="array" ref="O43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36" t="s">
        <v>50</v>
      </c>
      <c r="Q436" s="5">
        <v>14300</v>
      </c>
      <c r="R436">
        <v>12</v>
      </c>
      <c r="S436">
        <v>6.87</v>
      </c>
      <c r="T436">
        <v>1236.48</v>
      </c>
      <c r="U436">
        <v>23.6</v>
      </c>
      <c r="V436" t="str" cm="1">
        <f t="array" ref="V43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36" t="s">
        <v>41</v>
      </c>
      <c r="X436">
        <v>0</v>
      </c>
      <c r="Y436">
        <v>0</v>
      </c>
      <c r="Z436" s="5">
        <f>IF(Merge1[[#This Row],[loan_applications.defaulted]]=0,Merge1[[#This Row],[loan_applications.loan_amount]]*(Merge1[[#This Row],[loan_applications.interest_rate]]/100)*(Merge1[[#This Row],[loan_applications.term_months]]/12),0)</f>
        <v>982.41</v>
      </c>
      <c r="AA436" s="5">
        <f>IF(Merge1[[#This Row],[loan_applications.defaulted]]=1,Merge1[[#This Row],[loan_applications.loan_amount]],0)</f>
        <v>0</v>
      </c>
    </row>
    <row r="437" spans="1:27" x14ac:dyDescent="0.35">
      <c r="A437" t="s">
        <v>868</v>
      </c>
      <c r="B437" t="s">
        <v>869</v>
      </c>
      <c r="C437" s="1">
        <v>45592</v>
      </c>
      <c r="D437">
        <v>55</v>
      </c>
      <c r="E437" t="s">
        <v>95</v>
      </c>
      <c r="F437" t="s">
        <v>62</v>
      </c>
      <c r="G437" t="s">
        <v>26</v>
      </c>
      <c r="H437">
        <v>3</v>
      </c>
      <c r="I437" s="5">
        <v>71139</v>
      </c>
      <c r="J437" t="str" cm="1">
        <f t="array" ref="J43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37">
        <v>637</v>
      </c>
      <c r="L437" t="s">
        <v>27</v>
      </c>
      <c r="M437">
        <v>0</v>
      </c>
      <c r="N437">
        <v>1364</v>
      </c>
      <c r="O437" t="str" cm="1">
        <f t="array" ref="O43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37" t="s">
        <v>60</v>
      </c>
      <c r="Q437" s="5">
        <v>3900</v>
      </c>
      <c r="R437">
        <v>60</v>
      </c>
      <c r="S437">
        <v>13.91</v>
      </c>
      <c r="T437">
        <v>90.56</v>
      </c>
      <c r="U437">
        <v>24.5</v>
      </c>
      <c r="V437" t="str" cm="1">
        <f t="array" ref="V43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37" t="s">
        <v>41</v>
      </c>
      <c r="X437">
        <v>0</v>
      </c>
      <c r="Y437">
        <v>0</v>
      </c>
      <c r="Z437" s="5">
        <f>IF(Merge1[[#This Row],[loan_applications.defaulted]]=0,Merge1[[#This Row],[loan_applications.loan_amount]]*(Merge1[[#This Row],[loan_applications.interest_rate]]/100)*(Merge1[[#This Row],[loan_applications.term_months]]/12),0)</f>
        <v>2712.45</v>
      </c>
      <c r="AA437" s="5">
        <f>IF(Merge1[[#This Row],[loan_applications.defaulted]]=1,Merge1[[#This Row],[loan_applications.loan_amount]],0)</f>
        <v>0</v>
      </c>
    </row>
    <row r="438" spans="1:27" x14ac:dyDescent="0.35">
      <c r="A438" t="s">
        <v>870</v>
      </c>
      <c r="B438" t="s">
        <v>871</v>
      </c>
      <c r="C438" s="1">
        <v>45506</v>
      </c>
      <c r="D438">
        <v>34</v>
      </c>
      <c r="E438" t="s">
        <v>86</v>
      </c>
      <c r="F438" t="s">
        <v>68</v>
      </c>
      <c r="G438" t="s">
        <v>33</v>
      </c>
      <c r="H438">
        <v>14</v>
      </c>
      <c r="I438" s="5">
        <v>52736</v>
      </c>
      <c r="J438" t="str" cm="1">
        <f t="array" ref="J43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38">
        <v>850</v>
      </c>
      <c r="L438" t="s">
        <v>27</v>
      </c>
      <c r="M438">
        <v>0</v>
      </c>
      <c r="N438">
        <v>1293</v>
      </c>
      <c r="O438" t="str" cm="1">
        <f t="array" ref="O43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38" t="s">
        <v>30</v>
      </c>
      <c r="Q438" s="5">
        <v>49800</v>
      </c>
      <c r="R438">
        <v>60</v>
      </c>
      <c r="S438">
        <v>8.52</v>
      </c>
      <c r="T438">
        <v>1022.2</v>
      </c>
      <c r="U438">
        <v>52.7</v>
      </c>
      <c r="V438" t="str" cm="1">
        <f t="array" ref="V43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38" t="s">
        <v>41</v>
      </c>
      <c r="X438">
        <v>0</v>
      </c>
      <c r="Y438">
        <v>0</v>
      </c>
      <c r="Z438" s="5">
        <f>IF(Merge1[[#This Row],[loan_applications.defaulted]]=0,Merge1[[#This Row],[loan_applications.loan_amount]]*(Merge1[[#This Row],[loan_applications.interest_rate]]/100)*(Merge1[[#This Row],[loan_applications.term_months]]/12),0)</f>
        <v>21214.799999999999</v>
      </c>
      <c r="AA438" s="5">
        <f>IF(Merge1[[#This Row],[loan_applications.defaulted]]=1,Merge1[[#This Row],[loan_applications.loan_amount]],0)</f>
        <v>0</v>
      </c>
    </row>
    <row r="439" spans="1:27" x14ac:dyDescent="0.35">
      <c r="A439" t="s">
        <v>872</v>
      </c>
      <c r="B439" t="s">
        <v>873</v>
      </c>
      <c r="C439" s="1">
        <v>45513</v>
      </c>
      <c r="D439">
        <v>50</v>
      </c>
      <c r="E439" t="s">
        <v>14</v>
      </c>
      <c r="F439" t="s">
        <v>15</v>
      </c>
      <c r="G439" t="s">
        <v>33</v>
      </c>
      <c r="H439">
        <v>11</v>
      </c>
      <c r="I439" s="5">
        <v>43058</v>
      </c>
      <c r="J439" t="str" cm="1">
        <f t="array" ref="J43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39">
        <v>709</v>
      </c>
      <c r="L439" t="s">
        <v>27</v>
      </c>
      <c r="M439">
        <v>0</v>
      </c>
      <c r="N439">
        <v>1670</v>
      </c>
      <c r="O439" t="str" cm="1">
        <f t="array" ref="O43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39" t="s">
        <v>50</v>
      </c>
      <c r="Q439" s="5">
        <v>24000</v>
      </c>
      <c r="R439">
        <v>24</v>
      </c>
      <c r="S439">
        <v>11.19</v>
      </c>
      <c r="T439">
        <v>1120.71</v>
      </c>
      <c r="U439">
        <v>77.8</v>
      </c>
      <c r="V439" t="str" cm="1">
        <f t="array" ref="V43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39" t="s">
        <v>21</v>
      </c>
      <c r="X439">
        <v>0</v>
      </c>
      <c r="Y439">
        <v>0</v>
      </c>
      <c r="Z439" s="5">
        <f>IF(Merge1[[#This Row],[loan_applications.defaulted]]=0,Merge1[[#This Row],[loan_applications.loan_amount]]*(Merge1[[#This Row],[loan_applications.interest_rate]]/100)*(Merge1[[#This Row],[loan_applications.term_months]]/12),0)</f>
        <v>5371.2</v>
      </c>
      <c r="AA439" s="5">
        <f>IF(Merge1[[#This Row],[loan_applications.defaulted]]=1,Merge1[[#This Row],[loan_applications.loan_amount]],0)</f>
        <v>0</v>
      </c>
    </row>
    <row r="440" spans="1:27" x14ac:dyDescent="0.35">
      <c r="A440" t="s">
        <v>874</v>
      </c>
      <c r="B440" t="s">
        <v>875</v>
      </c>
      <c r="C440" s="1">
        <v>45377</v>
      </c>
      <c r="D440">
        <v>27</v>
      </c>
      <c r="E440" t="s">
        <v>25</v>
      </c>
      <c r="F440" t="s">
        <v>68</v>
      </c>
      <c r="G440" t="s">
        <v>26</v>
      </c>
      <c r="H440">
        <v>3</v>
      </c>
      <c r="I440" s="5">
        <v>36926</v>
      </c>
      <c r="J440" t="str" cm="1">
        <f t="array" ref="J44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40">
        <v>817</v>
      </c>
      <c r="L440" t="s">
        <v>17</v>
      </c>
      <c r="M440">
        <v>0</v>
      </c>
      <c r="N440">
        <v>471</v>
      </c>
      <c r="O440" t="str" cm="1">
        <f t="array" ref="O44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40" t="s">
        <v>30</v>
      </c>
      <c r="Q440" s="5">
        <v>9800</v>
      </c>
      <c r="R440">
        <v>24</v>
      </c>
      <c r="S440">
        <v>8.3800000000000008</v>
      </c>
      <c r="T440">
        <v>444.93</v>
      </c>
      <c r="U440">
        <v>29.8</v>
      </c>
      <c r="V440" t="str" cm="1">
        <f t="array" ref="V44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40" t="s">
        <v>21</v>
      </c>
      <c r="X440">
        <v>0</v>
      </c>
      <c r="Y440">
        <v>0</v>
      </c>
      <c r="Z440" s="5">
        <f>IF(Merge1[[#This Row],[loan_applications.defaulted]]=0,Merge1[[#This Row],[loan_applications.loan_amount]]*(Merge1[[#This Row],[loan_applications.interest_rate]]/100)*(Merge1[[#This Row],[loan_applications.term_months]]/12),0)</f>
        <v>1642.4800000000002</v>
      </c>
      <c r="AA440" s="5">
        <f>IF(Merge1[[#This Row],[loan_applications.defaulted]]=1,Merge1[[#This Row],[loan_applications.loan_amount]],0)</f>
        <v>0</v>
      </c>
    </row>
    <row r="441" spans="1:27" x14ac:dyDescent="0.35">
      <c r="A441" t="s">
        <v>876</v>
      </c>
      <c r="B441" t="s">
        <v>877</v>
      </c>
      <c r="C441" s="1">
        <v>45815</v>
      </c>
      <c r="D441">
        <v>63</v>
      </c>
      <c r="E441" t="s">
        <v>25</v>
      </c>
      <c r="F441" t="s">
        <v>32</v>
      </c>
      <c r="G441" t="s">
        <v>26</v>
      </c>
      <c r="H441">
        <v>30</v>
      </c>
      <c r="I441" s="5">
        <v>90383</v>
      </c>
      <c r="J441" t="str" cm="1">
        <f t="array" ref="J44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41">
        <v>544</v>
      </c>
      <c r="L441" t="s">
        <v>17</v>
      </c>
      <c r="M441">
        <v>0</v>
      </c>
      <c r="N441">
        <v>3392</v>
      </c>
      <c r="O441" t="str" cm="1">
        <f t="array" ref="O44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41" t="s">
        <v>56</v>
      </c>
      <c r="Q441" s="5">
        <v>26000</v>
      </c>
      <c r="R441">
        <v>24</v>
      </c>
      <c r="S441">
        <v>14.51</v>
      </c>
      <c r="T441">
        <v>1254.6099999999999</v>
      </c>
      <c r="U441">
        <v>61.7</v>
      </c>
      <c r="V441" t="str" cm="1">
        <f t="array" ref="V44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41" t="s">
        <v>41</v>
      </c>
      <c r="X441">
        <v>0</v>
      </c>
      <c r="Y441">
        <v>0</v>
      </c>
      <c r="Z441" s="5">
        <f>IF(Merge1[[#This Row],[loan_applications.defaulted]]=0,Merge1[[#This Row],[loan_applications.loan_amount]]*(Merge1[[#This Row],[loan_applications.interest_rate]]/100)*(Merge1[[#This Row],[loan_applications.term_months]]/12),0)</f>
        <v>7545.2000000000007</v>
      </c>
      <c r="AA441" s="5">
        <f>IF(Merge1[[#This Row],[loan_applications.defaulted]]=1,Merge1[[#This Row],[loan_applications.loan_amount]],0)</f>
        <v>0</v>
      </c>
    </row>
    <row r="442" spans="1:27" x14ac:dyDescent="0.35">
      <c r="A442" t="s">
        <v>878</v>
      </c>
      <c r="B442" t="s">
        <v>879</v>
      </c>
      <c r="C442" s="1">
        <v>45419</v>
      </c>
      <c r="D442">
        <v>36</v>
      </c>
      <c r="E442" t="s">
        <v>67</v>
      </c>
      <c r="F442" t="s">
        <v>68</v>
      </c>
      <c r="G442" t="s">
        <v>33</v>
      </c>
      <c r="H442">
        <v>8</v>
      </c>
      <c r="I442" s="5">
        <v>43512</v>
      </c>
      <c r="J442" t="str" cm="1">
        <f t="array" ref="J44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42">
        <v>850</v>
      </c>
      <c r="L442" t="s">
        <v>34</v>
      </c>
      <c r="M442">
        <v>3</v>
      </c>
      <c r="N442">
        <v>1013</v>
      </c>
      <c r="O442" t="str" cm="1">
        <f t="array" ref="O44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42" t="s">
        <v>23</v>
      </c>
      <c r="Q442" s="5">
        <v>31700</v>
      </c>
      <c r="R442">
        <v>24</v>
      </c>
      <c r="S442">
        <v>6.22</v>
      </c>
      <c r="T442">
        <v>1408.11</v>
      </c>
      <c r="U442">
        <v>66.8</v>
      </c>
      <c r="V442" t="str" cm="1">
        <f t="array" ref="V44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42" t="s">
        <v>41</v>
      </c>
      <c r="X442">
        <v>0</v>
      </c>
      <c r="Y442">
        <v>0</v>
      </c>
      <c r="Z442" s="5">
        <f>IF(Merge1[[#This Row],[loan_applications.defaulted]]=0,Merge1[[#This Row],[loan_applications.loan_amount]]*(Merge1[[#This Row],[loan_applications.interest_rate]]/100)*(Merge1[[#This Row],[loan_applications.term_months]]/12),0)</f>
        <v>3943.48</v>
      </c>
      <c r="AA442" s="5">
        <f>IF(Merge1[[#This Row],[loan_applications.defaulted]]=1,Merge1[[#This Row],[loan_applications.loan_amount]],0)</f>
        <v>0</v>
      </c>
    </row>
    <row r="443" spans="1:27" x14ac:dyDescent="0.35">
      <c r="A443" t="s">
        <v>880</v>
      </c>
      <c r="B443" t="s">
        <v>879</v>
      </c>
      <c r="C443" s="1">
        <v>45441</v>
      </c>
      <c r="D443">
        <v>36</v>
      </c>
      <c r="E443" t="s">
        <v>67</v>
      </c>
      <c r="F443" t="s">
        <v>68</v>
      </c>
      <c r="G443" t="s">
        <v>33</v>
      </c>
      <c r="H443">
        <v>8</v>
      </c>
      <c r="I443" s="5">
        <v>43512</v>
      </c>
      <c r="J443" t="str" cm="1">
        <f t="array" ref="J44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43">
        <v>850</v>
      </c>
      <c r="L443" t="s">
        <v>34</v>
      </c>
      <c r="M443">
        <v>3</v>
      </c>
      <c r="N443">
        <v>1013</v>
      </c>
      <c r="O443" t="str" cm="1">
        <f t="array" ref="O44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43" t="s">
        <v>45</v>
      </c>
      <c r="Q443" s="5">
        <v>18100</v>
      </c>
      <c r="R443">
        <v>36</v>
      </c>
      <c r="S443">
        <v>9.7200000000000006</v>
      </c>
      <c r="T443">
        <v>581.66</v>
      </c>
      <c r="U443">
        <v>44</v>
      </c>
      <c r="V443" t="str" cm="1">
        <f t="array" ref="V44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43" t="s">
        <v>41</v>
      </c>
      <c r="X443">
        <v>0</v>
      </c>
      <c r="Y443">
        <v>0</v>
      </c>
      <c r="Z443" s="5">
        <f>IF(Merge1[[#This Row],[loan_applications.defaulted]]=0,Merge1[[#This Row],[loan_applications.loan_amount]]*(Merge1[[#This Row],[loan_applications.interest_rate]]/100)*(Merge1[[#This Row],[loan_applications.term_months]]/12),0)</f>
        <v>5277.9600000000009</v>
      </c>
      <c r="AA443" s="5">
        <f>IF(Merge1[[#This Row],[loan_applications.defaulted]]=1,Merge1[[#This Row],[loan_applications.loan_amount]],0)</f>
        <v>0</v>
      </c>
    </row>
    <row r="444" spans="1:27" x14ac:dyDescent="0.35">
      <c r="A444" t="s">
        <v>881</v>
      </c>
      <c r="B444" t="s">
        <v>882</v>
      </c>
      <c r="C444" s="1">
        <v>45605</v>
      </c>
      <c r="D444">
        <v>35</v>
      </c>
      <c r="E444" t="s">
        <v>125</v>
      </c>
      <c r="F444" t="s">
        <v>32</v>
      </c>
      <c r="G444" t="s">
        <v>16</v>
      </c>
      <c r="H444">
        <v>3</v>
      </c>
      <c r="I444" s="5">
        <v>93191</v>
      </c>
      <c r="J444" t="str" cm="1">
        <f t="array" ref="J44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44">
        <v>743</v>
      </c>
      <c r="L444" t="s">
        <v>27</v>
      </c>
      <c r="M444">
        <v>4</v>
      </c>
      <c r="N444">
        <v>3647</v>
      </c>
      <c r="O444" t="str" cm="1">
        <f t="array" ref="O44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44" t="s">
        <v>56</v>
      </c>
      <c r="Q444" s="5">
        <v>7000</v>
      </c>
      <c r="R444">
        <v>12</v>
      </c>
      <c r="S444">
        <v>8.5</v>
      </c>
      <c r="T444">
        <v>610.54</v>
      </c>
      <c r="U444">
        <v>54.8</v>
      </c>
      <c r="V444" t="str" cm="1">
        <f t="array" ref="V44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44" t="s">
        <v>41</v>
      </c>
      <c r="X444">
        <v>0</v>
      </c>
      <c r="Y444">
        <v>0</v>
      </c>
      <c r="Z444" s="5">
        <f>IF(Merge1[[#This Row],[loan_applications.defaulted]]=0,Merge1[[#This Row],[loan_applications.loan_amount]]*(Merge1[[#This Row],[loan_applications.interest_rate]]/100)*(Merge1[[#This Row],[loan_applications.term_months]]/12),0)</f>
        <v>595</v>
      </c>
      <c r="AA444" s="5">
        <f>IF(Merge1[[#This Row],[loan_applications.defaulted]]=1,Merge1[[#This Row],[loan_applications.loan_amount]],0)</f>
        <v>0</v>
      </c>
    </row>
    <row r="445" spans="1:27" x14ac:dyDescent="0.35">
      <c r="A445" t="s">
        <v>883</v>
      </c>
      <c r="B445" t="s">
        <v>884</v>
      </c>
      <c r="C445" s="1">
        <v>45341</v>
      </c>
      <c r="D445">
        <v>57</v>
      </c>
      <c r="E445" t="s">
        <v>31</v>
      </c>
      <c r="F445" t="s">
        <v>32</v>
      </c>
      <c r="G445" t="s">
        <v>63</v>
      </c>
      <c r="H445">
        <v>30</v>
      </c>
      <c r="I445" s="5">
        <v>32803</v>
      </c>
      <c r="J445" t="str" cm="1">
        <f t="array" ref="J44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45">
        <v>580</v>
      </c>
      <c r="L445" t="s">
        <v>27</v>
      </c>
      <c r="M445">
        <v>2</v>
      </c>
      <c r="N445">
        <v>1314</v>
      </c>
      <c r="O445" t="str" cm="1">
        <f t="array" ref="O44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45" t="s">
        <v>71</v>
      </c>
      <c r="Q445" s="5">
        <v>25100</v>
      </c>
      <c r="R445">
        <v>60</v>
      </c>
      <c r="S445">
        <v>10.83</v>
      </c>
      <c r="T445">
        <v>543.61</v>
      </c>
      <c r="U445">
        <v>68</v>
      </c>
      <c r="V445" t="str" cm="1">
        <f t="array" ref="V44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45" t="s">
        <v>24</v>
      </c>
      <c r="X445">
        <v>129</v>
      </c>
      <c r="Y445">
        <v>1</v>
      </c>
      <c r="Z44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45" s="5">
        <f>IF(Merge1[[#This Row],[loan_applications.defaulted]]=1,Merge1[[#This Row],[loan_applications.loan_amount]],0)</f>
        <v>25100</v>
      </c>
    </row>
    <row r="446" spans="1:27" x14ac:dyDescent="0.35">
      <c r="A446" t="s">
        <v>885</v>
      </c>
      <c r="B446" t="s">
        <v>886</v>
      </c>
      <c r="C446" s="1">
        <v>45422</v>
      </c>
      <c r="D446">
        <v>38</v>
      </c>
      <c r="E446" t="s">
        <v>51</v>
      </c>
      <c r="F446" t="s">
        <v>32</v>
      </c>
      <c r="G446" t="s">
        <v>75</v>
      </c>
      <c r="H446">
        <v>4</v>
      </c>
      <c r="I446" s="5">
        <v>49297</v>
      </c>
      <c r="J446" t="str" cm="1">
        <f t="array" ref="J44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46">
        <v>626</v>
      </c>
      <c r="L446" t="s">
        <v>34</v>
      </c>
      <c r="M446">
        <v>3</v>
      </c>
      <c r="N446">
        <v>1859</v>
      </c>
      <c r="O446" t="str" cm="1">
        <f t="array" ref="O44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46" t="s">
        <v>30</v>
      </c>
      <c r="Q446" s="5">
        <v>42100</v>
      </c>
      <c r="R446">
        <v>48</v>
      </c>
      <c r="S446">
        <v>11.95</v>
      </c>
      <c r="T446">
        <v>1107.6199999999999</v>
      </c>
      <c r="U446">
        <v>72.2</v>
      </c>
      <c r="V446" t="str" cm="1">
        <f t="array" ref="V44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46" t="s">
        <v>24</v>
      </c>
      <c r="X446">
        <v>161</v>
      </c>
      <c r="Y446">
        <v>1</v>
      </c>
      <c r="Z44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46" s="5">
        <f>IF(Merge1[[#This Row],[loan_applications.defaulted]]=1,Merge1[[#This Row],[loan_applications.loan_amount]],0)</f>
        <v>42100</v>
      </c>
    </row>
    <row r="447" spans="1:27" x14ac:dyDescent="0.35">
      <c r="A447" t="s">
        <v>887</v>
      </c>
      <c r="B447" t="s">
        <v>888</v>
      </c>
      <c r="C447" s="1">
        <v>45671</v>
      </c>
      <c r="D447">
        <v>60</v>
      </c>
      <c r="E447" t="s">
        <v>31</v>
      </c>
      <c r="F447" t="s">
        <v>32</v>
      </c>
      <c r="G447" t="s">
        <v>26</v>
      </c>
      <c r="H447">
        <v>31</v>
      </c>
      <c r="I447" s="5">
        <v>49527</v>
      </c>
      <c r="J447" t="str" cm="1">
        <f t="array" ref="J44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47">
        <v>543</v>
      </c>
      <c r="L447" t="s">
        <v>17</v>
      </c>
      <c r="M447">
        <v>3</v>
      </c>
      <c r="N447">
        <v>1041</v>
      </c>
      <c r="O447" t="str" cm="1">
        <f t="array" ref="O44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47" t="s">
        <v>50</v>
      </c>
      <c r="Q447" s="5">
        <v>14100</v>
      </c>
      <c r="R447">
        <v>36</v>
      </c>
      <c r="S447">
        <v>11.21</v>
      </c>
      <c r="T447">
        <v>463.02</v>
      </c>
      <c r="U447">
        <v>36.4</v>
      </c>
      <c r="V447" t="str" cm="1">
        <f t="array" ref="V44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47" t="s">
        <v>91</v>
      </c>
      <c r="X447">
        <v>0</v>
      </c>
      <c r="Y447">
        <v>0</v>
      </c>
      <c r="Z447" s="5">
        <f>IF(Merge1[[#This Row],[loan_applications.defaulted]]=0,Merge1[[#This Row],[loan_applications.loan_amount]]*(Merge1[[#This Row],[loan_applications.interest_rate]]/100)*(Merge1[[#This Row],[loan_applications.term_months]]/12),0)</f>
        <v>4741.83</v>
      </c>
      <c r="AA447" s="5">
        <f>IF(Merge1[[#This Row],[loan_applications.defaulted]]=1,Merge1[[#This Row],[loan_applications.loan_amount]],0)</f>
        <v>0</v>
      </c>
    </row>
    <row r="448" spans="1:27" x14ac:dyDescent="0.35">
      <c r="A448" t="s">
        <v>889</v>
      </c>
      <c r="B448" t="s">
        <v>890</v>
      </c>
      <c r="C448" s="1">
        <v>45574</v>
      </c>
      <c r="D448">
        <v>24</v>
      </c>
      <c r="E448" t="s">
        <v>25</v>
      </c>
      <c r="F448" t="s">
        <v>32</v>
      </c>
      <c r="G448" t="s">
        <v>75</v>
      </c>
      <c r="H448">
        <v>1</v>
      </c>
      <c r="I448" s="5">
        <v>55596</v>
      </c>
      <c r="J448" t="str" cm="1">
        <f t="array" ref="J448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48">
        <v>705</v>
      </c>
      <c r="L448" t="s">
        <v>17</v>
      </c>
      <c r="M448">
        <v>2</v>
      </c>
      <c r="N448">
        <v>2331</v>
      </c>
      <c r="O448" t="str" cm="1">
        <f t="array" ref="O44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48" t="s">
        <v>50</v>
      </c>
      <c r="Q448" s="5">
        <v>17600</v>
      </c>
      <c r="R448">
        <v>48</v>
      </c>
      <c r="S448">
        <v>10.76</v>
      </c>
      <c r="T448">
        <v>452.83</v>
      </c>
      <c r="U448">
        <v>60.1</v>
      </c>
      <c r="V448" t="str" cm="1">
        <f t="array" ref="V44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48" t="s">
        <v>21</v>
      </c>
      <c r="X448">
        <v>0</v>
      </c>
      <c r="Y448">
        <v>0</v>
      </c>
      <c r="Z448" s="5">
        <f>IF(Merge1[[#This Row],[loan_applications.defaulted]]=0,Merge1[[#This Row],[loan_applications.loan_amount]]*(Merge1[[#This Row],[loan_applications.interest_rate]]/100)*(Merge1[[#This Row],[loan_applications.term_months]]/12),0)</f>
        <v>7575.04</v>
      </c>
      <c r="AA448" s="5">
        <f>IF(Merge1[[#This Row],[loan_applications.defaulted]]=1,Merge1[[#This Row],[loan_applications.loan_amount]],0)</f>
        <v>0</v>
      </c>
    </row>
    <row r="449" spans="1:27" x14ac:dyDescent="0.35">
      <c r="A449" t="s">
        <v>891</v>
      </c>
      <c r="B449" t="s">
        <v>892</v>
      </c>
      <c r="C449" s="1">
        <v>45612</v>
      </c>
      <c r="D449">
        <v>64</v>
      </c>
      <c r="E449" t="s">
        <v>113</v>
      </c>
      <c r="F449" t="s">
        <v>32</v>
      </c>
      <c r="G449" t="s">
        <v>26</v>
      </c>
      <c r="H449">
        <v>11</v>
      </c>
      <c r="I449" s="5">
        <v>51445</v>
      </c>
      <c r="J449" t="str" cm="1">
        <f t="array" ref="J44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49">
        <v>815</v>
      </c>
      <c r="L449" t="s">
        <v>34</v>
      </c>
      <c r="M449">
        <v>0</v>
      </c>
      <c r="N449">
        <v>768</v>
      </c>
      <c r="O449" t="str" cm="1">
        <f t="array" ref="O44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49" t="s">
        <v>56</v>
      </c>
      <c r="Q449" s="5">
        <v>29700</v>
      </c>
      <c r="R449">
        <v>36</v>
      </c>
      <c r="S449">
        <v>8.4499999999999993</v>
      </c>
      <c r="T449">
        <v>936.87</v>
      </c>
      <c r="U449">
        <v>39.799999999999997</v>
      </c>
      <c r="V449" t="str" cm="1">
        <f t="array" ref="V44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49" t="s">
        <v>41</v>
      </c>
      <c r="X449">
        <v>0</v>
      </c>
      <c r="Y449">
        <v>0</v>
      </c>
      <c r="Z449" s="5">
        <f>IF(Merge1[[#This Row],[loan_applications.defaulted]]=0,Merge1[[#This Row],[loan_applications.loan_amount]]*(Merge1[[#This Row],[loan_applications.interest_rate]]/100)*(Merge1[[#This Row],[loan_applications.term_months]]/12),0)</f>
        <v>7528.9499999999989</v>
      </c>
      <c r="AA449" s="5">
        <f>IF(Merge1[[#This Row],[loan_applications.defaulted]]=1,Merge1[[#This Row],[loan_applications.loan_amount]],0)</f>
        <v>0</v>
      </c>
    </row>
    <row r="450" spans="1:27" x14ac:dyDescent="0.35">
      <c r="A450" t="s">
        <v>893</v>
      </c>
      <c r="B450" t="s">
        <v>892</v>
      </c>
      <c r="C450" s="1">
        <v>45584</v>
      </c>
      <c r="D450">
        <v>64</v>
      </c>
      <c r="E450" t="s">
        <v>113</v>
      </c>
      <c r="F450" t="s">
        <v>32</v>
      </c>
      <c r="G450" t="s">
        <v>26</v>
      </c>
      <c r="H450">
        <v>11</v>
      </c>
      <c r="I450" s="5">
        <v>51445</v>
      </c>
      <c r="J450" t="str" cm="1">
        <f t="array" ref="J45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50">
        <v>815</v>
      </c>
      <c r="L450" t="s">
        <v>34</v>
      </c>
      <c r="M450">
        <v>0</v>
      </c>
      <c r="N450">
        <v>768</v>
      </c>
      <c r="O450" t="str" cm="1">
        <f t="array" ref="O45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50" t="s">
        <v>56</v>
      </c>
      <c r="Q450" s="5">
        <v>9900</v>
      </c>
      <c r="R450">
        <v>12</v>
      </c>
      <c r="S450">
        <v>6.84</v>
      </c>
      <c r="T450">
        <v>855.88</v>
      </c>
      <c r="U450">
        <v>37.9</v>
      </c>
      <c r="V450" t="str" cm="1">
        <f t="array" ref="V45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50" t="s">
        <v>21</v>
      </c>
      <c r="X450">
        <v>0</v>
      </c>
      <c r="Y450">
        <v>0</v>
      </c>
      <c r="Z450" s="5">
        <f>IF(Merge1[[#This Row],[loan_applications.defaulted]]=0,Merge1[[#This Row],[loan_applications.loan_amount]]*(Merge1[[#This Row],[loan_applications.interest_rate]]/100)*(Merge1[[#This Row],[loan_applications.term_months]]/12),0)</f>
        <v>677.16</v>
      </c>
      <c r="AA450" s="5">
        <f>IF(Merge1[[#This Row],[loan_applications.defaulted]]=1,Merge1[[#This Row],[loan_applications.loan_amount]],0)</f>
        <v>0</v>
      </c>
    </row>
    <row r="451" spans="1:27" x14ac:dyDescent="0.35">
      <c r="A451" t="s">
        <v>894</v>
      </c>
      <c r="B451" t="s">
        <v>895</v>
      </c>
      <c r="C451" s="1">
        <v>45819</v>
      </c>
      <c r="D451">
        <v>57</v>
      </c>
      <c r="E451" t="s">
        <v>51</v>
      </c>
      <c r="F451" t="s">
        <v>62</v>
      </c>
      <c r="G451" t="s">
        <v>26</v>
      </c>
      <c r="H451">
        <v>5</v>
      </c>
      <c r="I451" s="5">
        <v>112919</v>
      </c>
      <c r="J451" t="str" cm="1">
        <f t="array" ref="J45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51">
        <v>716</v>
      </c>
      <c r="L451" t="s">
        <v>27</v>
      </c>
      <c r="M451">
        <v>2</v>
      </c>
      <c r="N451">
        <v>1915</v>
      </c>
      <c r="O451" t="str" cm="1">
        <f t="array" ref="O45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51" t="s">
        <v>23</v>
      </c>
      <c r="Q451" s="5">
        <v>46800</v>
      </c>
      <c r="R451">
        <v>24</v>
      </c>
      <c r="S451">
        <v>10.46</v>
      </c>
      <c r="T451">
        <v>2169.5300000000002</v>
      </c>
      <c r="U451">
        <v>43.4</v>
      </c>
      <c r="V451" t="str" cm="1">
        <f t="array" ref="V45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51" t="s">
        <v>41</v>
      </c>
      <c r="X451">
        <v>0</v>
      </c>
      <c r="Y451">
        <v>0</v>
      </c>
      <c r="Z451" s="5">
        <f>IF(Merge1[[#This Row],[loan_applications.defaulted]]=0,Merge1[[#This Row],[loan_applications.loan_amount]]*(Merge1[[#This Row],[loan_applications.interest_rate]]/100)*(Merge1[[#This Row],[loan_applications.term_months]]/12),0)</f>
        <v>9790.5600000000013</v>
      </c>
      <c r="AA451" s="5">
        <f>IF(Merge1[[#This Row],[loan_applications.defaulted]]=1,Merge1[[#This Row],[loan_applications.loan_amount]],0)</f>
        <v>0</v>
      </c>
    </row>
    <row r="452" spans="1:27" x14ac:dyDescent="0.35">
      <c r="A452" t="s">
        <v>896</v>
      </c>
      <c r="B452" t="s">
        <v>895</v>
      </c>
      <c r="C452" s="1">
        <v>45645</v>
      </c>
      <c r="D452">
        <v>57</v>
      </c>
      <c r="E452" t="s">
        <v>51</v>
      </c>
      <c r="F452" t="s">
        <v>62</v>
      </c>
      <c r="G452" t="s">
        <v>26</v>
      </c>
      <c r="H452">
        <v>5</v>
      </c>
      <c r="I452" s="5">
        <v>112919</v>
      </c>
      <c r="J452" t="str" cm="1">
        <f t="array" ref="J45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52">
        <v>716</v>
      </c>
      <c r="L452" t="s">
        <v>27</v>
      </c>
      <c r="M452">
        <v>2</v>
      </c>
      <c r="N452">
        <v>1915</v>
      </c>
      <c r="O452" t="str" cm="1">
        <f t="array" ref="O45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52" t="s">
        <v>54</v>
      </c>
      <c r="Q452" s="5">
        <v>31600</v>
      </c>
      <c r="R452">
        <v>12</v>
      </c>
      <c r="S452">
        <v>11.64</v>
      </c>
      <c r="T452">
        <v>2802.3</v>
      </c>
      <c r="U452">
        <v>50.1</v>
      </c>
      <c r="V452" t="str" cm="1">
        <f t="array" ref="V45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52" t="s">
        <v>21</v>
      </c>
      <c r="X452">
        <v>0</v>
      </c>
      <c r="Y452">
        <v>0</v>
      </c>
      <c r="Z452" s="5">
        <f>IF(Merge1[[#This Row],[loan_applications.defaulted]]=0,Merge1[[#This Row],[loan_applications.loan_amount]]*(Merge1[[#This Row],[loan_applications.interest_rate]]/100)*(Merge1[[#This Row],[loan_applications.term_months]]/12),0)</f>
        <v>3678.2400000000002</v>
      </c>
      <c r="AA452" s="5">
        <f>IF(Merge1[[#This Row],[loan_applications.defaulted]]=1,Merge1[[#This Row],[loan_applications.loan_amount]],0)</f>
        <v>0</v>
      </c>
    </row>
    <row r="453" spans="1:27" x14ac:dyDescent="0.35">
      <c r="A453" t="s">
        <v>897</v>
      </c>
      <c r="B453" t="s">
        <v>898</v>
      </c>
      <c r="C453" s="1">
        <v>45828</v>
      </c>
      <c r="D453">
        <v>43</v>
      </c>
      <c r="E453" t="s">
        <v>25</v>
      </c>
      <c r="F453" t="s">
        <v>32</v>
      </c>
      <c r="G453" t="s">
        <v>63</v>
      </c>
      <c r="H453">
        <v>15</v>
      </c>
      <c r="I453" s="5">
        <v>38602</v>
      </c>
      <c r="J453" t="str" cm="1">
        <f t="array" ref="J45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53">
        <v>585</v>
      </c>
      <c r="L453" t="s">
        <v>27</v>
      </c>
      <c r="M453">
        <v>2</v>
      </c>
      <c r="N453">
        <v>1679</v>
      </c>
      <c r="O453" t="str" cm="1">
        <f t="array" ref="O45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53" t="s">
        <v>30</v>
      </c>
      <c r="Q453" s="5">
        <v>3700</v>
      </c>
      <c r="R453">
        <v>48</v>
      </c>
      <c r="S453">
        <v>15.07</v>
      </c>
      <c r="T453">
        <v>103.11</v>
      </c>
      <c r="U453">
        <v>55.4</v>
      </c>
      <c r="V453" t="str" cm="1">
        <f t="array" ref="V45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53" t="s">
        <v>41</v>
      </c>
      <c r="X453">
        <v>0</v>
      </c>
      <c r="Y453">
        <v>0</v>
      </c>
      <c r="Z453" s="5">
        <f>IF(Merge1[[#This Row],[loan_applications.defaulted]]=0,Merge1[[#This Row],[loan_applications.loan_amount]]*(Merge1[[#This Row],[loan_applications.interest_rate]]/100)*(Merge1[[#This Row],[loan_applications.term_months]]/12),0)</f>
        <v>2230.36</v>
      </c>
      <c r="AA453" s="5">
        <f>IF(Merge1[[#This Row],[loan_applications.defaulted]]=1,Merge1[[#This Row],[loan_applications.loan_amount]],0)</f>
        <v>0</v>
      </c>
    </row>
    <row r="454" spans="1:27" x14ac:dyDescent="0.35">
      <c r="A454" t="s">
        <v>899</v>
      </c>
      <c r="B454" t="s">
        <v>898</v>
      </c>
      <c r="C454" s="1">
        <v>45466</v>
      </c>
      <c r="D454">
        <v>43</v>
      </c>
      <c r="E454" t="s">
        <v>25</v>
      </c>
      <c r="F454" t="s">
        <v>32</v>
      </c>
      <c r="G454" t="s">
        <v>63</v>
      </c>
      <c r="H454">
        <v>15</v>
      </c>
      <c r="I454" s="5">
        <v>38602</v>
      </c>
      <c r="J454" t="str" cm="1">
        <f t="array" ref="J45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54">
        <v>585</v>
      </c>
      <c r="L454" t="s">
        <v>27</v>
      </c>
      <c r="M454">
        <v>2</v>
      </c>
      <c r="N454">
        <v>1679</v>
      </c>
      <c r="O454" t="str" cm="1">
        <f t="array" ref="O45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54" t="s">
        <v>50</v>
      </c>
      <c r="Q454" s="5">
        <v>33800</v>
      </c>
      <c r="R454">
        <v>48</v>
      </c>
      <c r="S454">
        <v>12.73</v>
      </c>
      <c r="T454">
        <v>902.25</v>
      </c>
      <c r="U454">
        <v>80.2</v>
      </c>
      <c r="V454" t="str" cm="1">
        <f t="array" ref="V45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54" t="s">
        <v>24</v>
      </c>
      <c r="X454">
        <v>58</v>
      </c>
      <c r="Y454">
        <v>1</v>
      </c>
      <c r="Z45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54" s="5">
        <f>IF(Merge1[[#This Row],[loan_applications.defaulted]]=1,Merge1[[#This Row],[loan_applications.loan_amount]],0)</f>
        <v>33800</v>
      </c>
    </row>
    <row r="455" spans="1:27" x14ac:dyDescent="0.35">
      <c r="A455" t="s">
        <v>900</v>
      </c>
      <c r="B455" t="s">
        <v>901</v>
      </c>
      <c r="C455" s="1">
        <v>45786</v>
      </c>
      <c r="D455">
        <v>26</v>
      </c>
      <c r="E455" t="s">
        <v>38</v>
      </c>
      <c r="F455" t="s">
        <v>32</v>
      </c>
      <c r="G455" t="s">
        <v>26</v>
      </c>
      <c r="H455">
        <v>4</v>
      </c>
      <c r="I455" s="5">
        <v>48244</v>
      </c>
      <c r="J455" t="str" cm="1">
        <f t="array" ref="J45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55">
        <v>725</v>
      </c>
      <c r="L455" t="s">
        <v>34</v>
      </c>
      <c r="M455">
        <v>3</v>
      </c>
      <c r="N455">
        <v>504</v>
      </c>
      <c r="O455" t="str" cm="1">
        <f t="array" ref="O45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55" t="s">
        <v>56</v>
      </c>
      <c r="Q455" s="5">
        <v>42800</v>
      </c>
      <c r="R455">
        <v>12</v>
      </c>
      <c r="S455">
        <v>9.3699999999999992</v>
      </c>
      <c r="T455">
        <v>3750.27</v>
      </c>
      <c r="U455">
        <v>105.8</v>
      </c>
      <c r="V455" t="str" cm="1">
        <f t="array" ref="V45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55" t="s">
        <v>21</v>
      </c>
      <c r="X455">
        <v>0</v>
      </c>
      <c r="Y455">
        <v>0</v>
      </c>
      <c r="Z455" s="5">
        <f>IF(Merge1[[#This Row],[loan_applications.defaulted]]=0,Merge1[[#This Row],[loan_applications.loan_amount]]*(Merge1[[#This Row],[loan_applications.interest_rate]]/100)*(Merge1[[#This Row],[loan_applications.term_months]]/12),0)</f>
        <v>4010.3599999999997</v>
      </c>
      <c r="AA455" s="5">
        <f>IF(Merge1[[#This Row],[loan_applications.defaulted]]=1,Merge1[[#This Row],[loan_applications.loan_amount]],0)</f>
        <v>0</v>
      </c>
    </row>
    <row r="456" spans="1:27" x14ac:dyDescent="0.35">
      <c r="A456" t="s">
        <v>902</v>
      </c>
      <c r="B456" t="s">
        <v>903</v>
      </c>
      <c r="C456" s="1">
        <v>45328</v>
      </c>
      <c r="D456">
        <v>34</v>
      </c>
      <c r="E456" t="s">
        <v>162</v>
      </c>
      <c r="F456" t="s">
        <v>68</v>
      </c>
      <c r="G456" t="s">
        <v>75</v>
      </c>
      <c r="H456">
        <v>2</v>
      </c>
      <c r="I456" s="5">
        <v>42389</v>
      </c>
      <c r="J456" t="str" cm="1">
        <f t="array" ref="J45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56">
        <v>764</v>
      </c>
      <c r="L456" t="s">
        <v>34</v>
      </c>
      <c r="M456">
        <v>0</v>
      </c>
      <c r="N456">
        <v>319</v>
      </c>
      <c r="O456" t="str" cm="1">
        <f t="array" ref="O45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56" t="s">
        <v>56</v>
      </c>
      <c r="Q456" s="5">
        <v>46600</v>
      </c>
      <c r="R456">
        <v>60</v>
      </c>
      <c r="S456">
        <v>11.4</v>
      </c>
      <c r="T456">
        <v>1022.52</v>
      </c>
      <c r="U456">
        <v>38</v>
      </c>
      <c r="V456" t="str" cm="1">
        <f t="array" ref="V45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56" t="s">
        <v>91</v>
      </c>
      <c r="X456">
        <v>15</v>
      </c>
      <c r="Y456">
        <v>0</v>
      </c>
      <c r="Z456" s="5">
        <f>IF(Merge1[[#This Row],[loan_applications.defaulted]]=0,Merge1[[#This Row],[loan_applications.loan_amount]]*(Merge1[[#This Row],[loan_applications.interest_rate]]/100)*(Merge1[[#This Row],[loan_applications.term_months]]/12),0)</f>
        <v>26562.000000000004</v>
      </c>
      <c r="AA456" s="5">
        <f>IF(Merge1[[#This Row],[loan_applications.defaulted]]=1,Merge1[[#This Row],[loan_applications.loan_amount]],0)</f>
        <v>0</v>
      </c>
    </row>
    <row r="457" spans="1:27" x14ac:dyDescent="0.35">
      <c r="A457" t="s">
        <v>904</v>
      </c>
      <c r="B457" t="s">
        <v>905</v>
      </c>
      <c r="C457" s="1">
        <v>45650</v>
      </c>
      <c r="D457">
        <v>43</v>
      </c>
      <c r="E457" t="s">
        <v>169</v>
      </c>
      <c r="F457" t="s">
        <v>32</v>
      </c>
      <c r="G457" t="s">
        <v>26</v>
      </c>
      <c r="H457">
        <v>14</v>
      </c>
      <c r="I457" s="5">
        <v>81081</v>
      </c>
      <c r="J457" t="str" cm="1">
        <f t="array" ref="J45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57">
        <v>542</v>
      </c>
      <c r="L457" t="s">
        <v>34</v>
      </c>
      <c r="M457">
        <v>2</v>
      </c>
      <c r="N457">
        <v>2284</v>
      </c>
      <c r="O457" t="str" cm="1">
        <f t="array" ref="O45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57" t="s">
        <v>60</v>
      </c>
      <c r="Q457" s="5">
        <v>17800</v>
      </c>
      <c r="R457">
        <v>36</v>
      </c>
      <c r="S457">
        <v>11.5</v>
      </c>
      <c r="T457">
        <v>586.97</v>
      </c>
      <c r="U457">
        <v>42.5</v>
      </c>
      <c r="V457" t="str" cm="1">
        <f t="array" ref="V45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57" t="s">
        <v>41</v>
      </c>
      <c r="X457">
        <v>0</v>
      </c>
      <c r="Y457">
        <v>0</v>
      </c>
      <c r="Z457" s="5">
        <f>IF(Merge1[[#This Row],[loan_applications.defaulted]]=0,Merge1[[#This Row],[loan_applications.loan_amount]]*(Merge1[[#This Row],[loan_applications.interest_rate]]/100)*(Merge1[[#This Row],[loan_applications.term_months]]/12),0)</f>
        <v>6141</v>
      </c>
      <c r="AA457" s="5">
        <f>IF(Merge1[[#This Row],[loan_applications.defaulted]]=1,Merge1[[#This Row],[loan_applications.loan_amount]],0)</f>
        <v>0</v>
      </c>
    </row>
    <row r="458" spans="1:27" x14ac:dyDescent="0.35">
      <c r="A458" t="s">
        <v>906</v>
      </c>
      <c r="B458" t="s">
        <v>907</v>
      </c>
      <c r="C458" s="1">
        <v>45791</v>
      </c>
      <c r="D458">
        <v>32</v>
      </c>
      <c r="E458" t="s">
        <v>67</v>
      </c>
      <c r="F458" t="s">
        <v>32</v>
      </c>
      <c r="G458" t="s">
        <v>16</v>
      </c>
      <c r="H458">
        <v>6</v>
      </c>
      <c r="I458" s="5">
        <v>46217</v>
      </c>
      <c r="J458" t="str" cm="1">
        <f t="array" ref="J45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58">
        <v>844</v>
      </c>
      <c r="L458" t="s">
        <v>34</v>
      </c>
      <c r="M458">
        <v>1</v>
      </c>
      <c r="N458">
        <v>1111</v>
      </c>
      <c r="O458" t="str" cm="1">
        <f t="array" ref="O45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58" t="s">
        <v>20</v>
      </c>
      <c r="Q458" s="5">
        <v>14100</v>
      </c>
      <c r="R458">
        <v>24</v>
      </c>
      <c r="S458">
        <v>7.99</v>
      </c>
      <c r="T458">
        <v>637.64</v>
      </c>
      <c r="U458">
        <v>45.4</v>
      </c>
      <c r="V458" t="str" cm="1">
        <f t="array" ref="V45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58" t="s">
        <v>24</v>
      </c>
      <c r="X458">
        <v>94</v>
      </c>
      <c r="Y458">
        <v>1</v>
      </c>
      <c r="Z45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58" s="5">
        <f>IF(Merge1[[#This Row],[loan_applications.defaulted]]=1,Merge1[[#This Row],[loan_applications.loan_amount]],0)</f>
        <v>14100</v>
      </c>
    </row>
    <row r="459" spans="1:27" x14ac:dyDescent="0.35">
      <c r="A459" t="s">
        <v>908</v>
      </c>
      <c r="B459" t="s">
        <v>909</v>
      </c>
      <c r="C459" s="1">
        <v>45567</v>
      </c>
      <c r="D459">
        <v>22</v>
      </c>
      <c r="E459" t="s">
        <v>83</v>
      </c>
      <c r="F459" t="s">
        <v>15</v>
      </c>
      <c r="G459" t="s">
        <v>26</v>
      </c>
      <c r="H459">
        <v>1</v>
      </c>
      <c r="I459" s="5">
        <v>35533</v>
      </c>
      <c r="J459" t="str" cm="1">
        <f t="array" ref="J45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59">
        <v>532</v>
      </c>
      <c r="L459" t="s">
        <v>17</v>
      </c>
      <c r="M459">
        <v>0</v>
      </c>
      <c r="N459">
        <v>1150</v>
      </c>
      <c r="O459" t="str" cm="1">
        <f t="array" ref="O45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59" t="s">
        <v>23</v>
      </c>
      <c r="Q459" s="5">
        <v>11000</v>
      </c>
      <c r="R459">
        <v>24</v>
      </c>
      <c r="S459">
        <v>13.82</v>
      </c>
      <c r="T459">
        <v>527.21</v>
      </c>
      <c r="U459">
        <v>56.6</v>
      </c>
      <c r="V459" t="str" cm="1">
        <f t="array" ref="V45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59" t="s">
        <v>24</v>
      </c>
      <c r="X459">
        <v>142</v>
      </c>
      <c r="Y459">
        <v>1</v>
      </c>
      <c r="Z45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59" s="5">
        <f>IF(Merge1[[#This Row],[loan_applications.defaulted]]=1,Merge1[[#This Row],[loan_applications.loan_amount]],0)</f>
        <v>11000</v>
      </c>
    </row>
    <row r="460" spans="1:27" x14ac:dyDescent="0.35">
      <c r="A460" t="s">
        <v>910</v>
      </c>
      <c r="B460" t="s">
        <v>911</v>
      </c>
      <c r="C460" s="1">
        <v>45495</v>
      </c>
      <c r="D460">
        <v>62</v>
      </c>
      <c r="E460" t="s">
        <v>83</v>
      </c>
      <c r="F460" t="s">
        <v>62</v>
      </c>
      <c r="G460" t="s">
        <v>26</v>
      </c>
      <c r="H460">
        <v>8</v>
      </c>
      <c r="I460" s="5">
        <v>129845</v>
      </c>
      <c r="J460" t="str" cm="1">
        <f t="array" ref="J46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60">
        <v>709</v>
      </c>
      <c r="L460" t="s">
        <v>27</v>
      </c>
      <c r="M460">
        <v>2</v>
      </c>
      <c r="N460">
        <v>1444</v>
      </c>
      <c r="O460" t="str" cm="1">
        <f t="array" ref="O46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60" t="s">
        <v>20</v>
      </c>
      <c r="Q460" s="5">
        <v>19000</v>
      </c>
      <c r="R460">
        <v>48</v>
      </c>
      <c r="S460">
        <v>8.2100000000000009</v>
      </c>
      <c r="T460">
        <v>465.72</v>
      </c>
      <c r="U460">
        <v>17.600000000000001</v>
      </c>
      <c r="V460" t="str" cm="1">
        <f t="array" ref="V46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60" t="s">
        <v>41</v>
      </c>
      <c r="X460">
        <v>0</v>
      </c>
      <c r="Y460">
        <v>0</v>
      </c>
      <c r="Z460" s="5">
        <f>IF(Merge1[[#This Row],[loan_applications.defaulted]]=0,Merge1[[#This Row],[loan_applications.loan_amount]]*(Merge1[[#This Row],[loan_applications.interest_rate]]/100)*(Merge1[[#This Row],[loan_applications.term_months]]/12),0)</f>
        <v>6239.6</v>
      </c>
      <c r="AA460" s="5">
        <f>IF(Merge1[[#This Row],[loan_applications.defaulted]]=1,Merge1[[#This Row],[loan_applications.loan_amount]],0)</f>
        <v>0</v>
      </c>
    </row>
    <row r="461" spans="1:27" x14ac:dyDescent="0.35">
      <c r="A461" t="s">
        <v>912</v>
      </c>
      <c r="B461" t="s">
        <v>913</v>
      </c>
      <c r="C461" s="1">
        <v>45564</v>
      </c>
      <c r="D461">
        <v>24</v>
      </c>
      <c r="E461" t="s">
        <v>14</v>
      </c>
      <c r="F461" t="s">
        <v>68</v>
      </c>
      <c r="G461" t="s">
        <v>26</v>
      </c>
      <c r="H461">
        <v>4</v>
      </c>
      <c r="I461" s="5">
        <v>63025</v>
      </c>
      <c r="J461" t="str" cm="1">
        <f t="array" ref="J46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61">
        <v>840</v>
      </c>
      <c r="L461" t="s">
        <v>34</v>
      </c>
      <c r="M461">
        <v>2</v>
      </c>
      <c r="N461">
        <v>613</v>
      </c>
      <c r="O461" t="str" cm="1">
        <f t="array" ref="O46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61" t="s">
        <v>45</v>
      </c>
      <c r="Q461" s="5">
        <v>9700</v>
      </c>
      <c r="R461">
        <v>24</v>
      </c>
      <c r="S461">
        <v>10.74</v>
      </c>
      <c r="T461">
        <v>450.93</v>
      </c>
      <c r="U461">
        <v>20.3</v>
      </c>
      <c r="V461" t="str" cm="1">
        <f t="array" ref="V46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61" t="s">
        <v>41</v>
      </c>
      <c r="X461">
        <v>0</v>
      </c>
      <c r="Y461">
        <v>0</v>
      </c>
      <c r="Z461" s="5">
        <f>IF(Merge1[[#This Row],[loan_applications.defaulted]]=0,Merge1[[#This Row],[loan_applications.loan_amount]]*(Merge1[[#This Row],[loan_applications.interest_rate]]/100)*(Merge1[[#This Row],[loan_applications.term_months]]/12),0)</f>
        <v>2083.56</v>
      </c>
      <c r="AA461" s="5">
        <f>IF(Merge1[[#This Row],[loan_applications.defaulted]]=1,Merge1[[#This Row],[loan_applications.loan_amount]],0)</f>
        <v>0</v>
      </c>
    </row>
    <row r="462" spans="1:27" x14ac:dyDescent="0.35">
      <c r="A462" t="s">
        <v>914</v>
      </c>
      <c r="B462" t="s">
        <v>915</v>
      </c>
      <c r="C462" s="1">
        <v>45690</v>
      </c>
      <c r="D462">
        <v>53</v>
      </c>
      <c r="E462" t="s">
        <v>79</v>
      </c>
      <c r="F462" t="s">
        <v>32</v>
      </c>
      <c r="G462" t="s">
        <v>26</v>
      </c>
      <c r="H462">
        <v>1</v>
      </c>
      <c r="I462" s="5">
        <v>101087</v>
      </c>
      <c r="J462" t="str" cm="1">
        <f t="array" ref="J46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62">
        <v>751</v>
      </c>
      <c r="L462" t="s">
        <v>27</v>
      </c>
      <c r="M462">
        <v>4</v>
      </c>
      <c r="N462">
        <v>1310</v>
      </c>
      <c r="O462" t="str" cm="1">
        <f t="array" ref="O46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62" t="s">
        <v>50</v>
      </c>
      <c r="Q462" s="5">
        <v>38700</v>
      </c>
      <c r="R462">
        <v>48</v>
      </c>
      <c r="S462">
        <v>9.99</v>
      </c>
      <c r="T462">
        <v>981.35</v>
      </c>
      <c r="U462">
        <v>27.2</v>
      </c>
      <c r="V462" t="str" cm="1">
        <f t="array" ref="V46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62" t="s">
        <v>91</v>
      </c>
      <c r="X462">
        <v>30</v>
      </c>
      <c r="Y462">
        <v>0</v>
      </c>
      <c r="Z462" s="5">
        <f>IF(Merge1[[#This Row],[loan_applications.defaulted]]=0,Merge1[[#This Row],[loan_applications.loan_amount]]*(Merge1[[#This Row],[loan_applications.interest_rate]]/100)*(Merge1[[#This Row],[loan_applications.term_months]]/12),0)</f>
        <v>15464.52</v>
      </c>
      <c r="AA462" s="5">
        <f>IF(Merge1[[#This Row],[loan_applications.defaulted]]=1,Merge1[[#This Row],[loan_applications.loan_amount]],0)</f>
        <v>0</v>
      </c>
    </row>
    <row r="463" spans="1:27" x14ac:dyDescent="0.35">
      <c r="A463" t="s">
        <v>916</v>
      </c>
      <c r="B463" t="s">
        <v>917</v>
      </c>
      <c r="C463" s="1">
        <v>45642</v>
      </c>
      <c r="D463">
        <v>23</v>
      </c>
      <c r="E463" t="s">
        <v>31</v>
      </c>
      <c r="F463" t="s">
        <v>32</v>
      </c>
      <c r="G463" t="s">
        <v>26</v>
      </c>
      <c r="H463">
        <v>3</v>
      </c>
      <c r="I463" s="5">
        <v>63988</v>
      </c>
      <c r="J463" t="str" cm="1">
        <f t="array" ref="J46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63">
        <v>554</v>
      </c>
      <c r="L463" t="s">
        <v>17</v>
      </c>
      <c r="M463">
        <v>2</v>
      </c>
      <c r="N463">
        <v>1927</v>
      </c>
      <c r="O463" t="str" cm="1">
        <f t="array" ref="O46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63" t="s">
        <v>45</v>
      </c>
      <c r="Q463" s="5">
        <v>38800</v>
      </c>
      <c r="R463">
        <v>24</v>
      </c>
      <c r="S463">
        <v>11.03</v>
      </c>
      <c r="T463">
        <v>1808.92</v>
      </c>
      <c r="U463">
        <v>70.099999999999994</v>
      </c>
      <c r="V463" t="str" cm="1">
        <f t="array" ref="V46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63" t="s">
        <v>24</v>
      </c>
      <c r="X463">
        <v>32</v>
      </c>
      <c r="Y463">
        <v>1</v>
      </c>
      <c r="Z46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63" s="5">
        <f>IF(Merge1[[#This Row],[loan_applications.defaulted]]=1,Merge1[[#This Row],[loan_applications.loan_amount]],0)</f>
        <v>38800</v>
      </c>
    </row>
    <row r="464" spans="1:27" x14ac:dyDescent="0.35">
      <c r="A464" t="s">
        <v>918</v>
      </c>
      <c r="B464" t="s">
        <v>919</v>
      </c>
      <c r="C464" s="1">
        <v>45448</v>
      </c>
      <c r="D464">
        <v>60</v>
      </c>
      <c r="E464" t="s">
        <v>92</v>
      </c>
      <c r="F464" t="s">
        <v>47</v>
      </c>
      <c r="G464" t="s">
        <v>16</v>
      </c>
      <c r="H464">
        <v>3</v>
      </c>
      <c r="I464" s="5">
        <v>134797</v>
      </c>
      <c r="J464" t="str" cm="1">
        <f t="array" ref="J46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64">
        <v>560</v>
      </c>
      <c r="L464" t="s">
        <v>17</v>
      </c>
      <c r="M464">
        <v>1</v>
      </c>
      <c r="N464">
        <v>1255</v>
      </c>
      <c r="O464" t="str" cm="1">
        <f t="array" ref="O46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64" t="s">
        <v>37</v>
      </c>
      <c r="Q464" s="5">
        <v>6000</v>
      </c>
      <c r="R464">
        <v>48</v>
      </c>
      <c r="S464">
        <v>11.91</v>
      </c>
      <c r="T464">
        <v>157.74</v>
      </c>
      <c r="U464">
        <v>12.6</v>
      </c>
      <c r="V464" t="str" cm="1">
        <f t="array" ref="V46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64" t="s">
        <v>41</v>
      </c>
      <c r="X464">
        <v>0</v>
      </c>
      <c r="Y464">
        <v>0</v>
      </c>
      <c r="Z464" s="5">
        <f>IF(Merge1[[#This Row],[loan_applications.defaulted]]=0,Merge1[[#This Row],[loan_applications.loan_amount]]*(Merge1[[#This Row],[loan_applications.interest_rate]]/100)*(Merge1[[#This Row],[loan_applications.term_months]]/12),0)</f>
        <v>2858.4</v>
      </c>
      <c r="AA464" s="5">
        <f>IF(Merge1[[#This Row],[loan_applications.defaulted]]=1,Merge1[[#This Row],[loan_applications.loan_amount]],0)</f>
        <v>0</v>
      </c>
    </row>
    <row r="465" spans="1:27" x14ac:dyDescent="0.35">
      <c r="A465" t="s">
        <v>920</v>
      </c>
      <c r="B465" t="s">
        <v>921</v>
      </c>
      <c r="C465" s="1">
        <v>45397</v>
      </c>
      <c r="D465">
        <v>38</v>
      </c>
      <c r="E465" t="s">
        <v>125</v>
      </c>
      <c r="F465" t="s">
        <v>32</v>
      </c>
      <c r="G465" t="s">
        <v>26</v>
      </c>
      <c r="H465">
        <v>0</v>
      </c>
      <c r="I465" s="5">
        <v>84953</v>
      </c>
      <c r="J465" t="str" cm="1">
        <f t="array" ref="J465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65">
        <v>850</v>
      </c>
      <c r="L465" t="s">
        <v>34</v>
      </c>
      <c r="M465">
        <v>0</v>
      </c>
      <c r="N465">
        <v>2195</v>
      </c>
      <c r="O465" t="str" cm="1">
        <f t="array" ref="O46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65" t="s">
        <v>37</v>
      </c>
      <c r="Q465" s="5">
        <v>13900</v>
      </c>
      <c r="R465">
        <v>48</v>
      </c>
      <c r="S465">
        <v>6.83</v>
      </c>
      <c r="T465">
        <v>331.76</v>
      </c>
      <c r="U465">
        <v>35.700000000000003</v>
      </c>
      <c r="V465" t="str" cm="1">
        <f t="array" ref="V46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65" t="s">
        <v>41</v>
      </c>
      <c r="X465">
        <v>0</v>
      </c>
      <c r="Y465">
        <v>0</v>
      </c>
      <c r="Z465" s="5">
        <f>IF(Merge1[[#This Row],[loan_applications.defaulted]]=0,Merge1[[#This Row],[loan_applications.loan_amount]]*(Merge1[[#This Row],[loan_applications.interest_rate]]/100)*(Merge1[[#This Row],[loan_applications.term_months]]/12),0)</f>
        <v>3797.48</v>
      </c>
      <c r="AA465" s="5">
        <f>IF(Merge1[[#This Row],[loan_applications.defaulted]]=1,Merge1[[#This Row],[loan_applications.loan_amount]],0)</f>
        <v>0</v>
      </c>
    </row>
    <row r="466" spans="1:27" x14ac:dyDescent="0.35">
      <c r="A466" t="s">
        <v>922</v>
      </c>
      <c r="B466" t="s">
        <v>923</v>
      </c>
      <c r="C466" s="1">
        <v>45331</v>
      </c>
      <c r="D466">
        <v>61</v>
      </c>
      <c r="E466" t="s">
        <v>74</v>
      </c>
      <c r="F466" t="s">
        <v>32</v>
      </c>
      <c r="G466" t="s">
        <v>26</v>
      </c>
      <c r="H466">
        <v>32</v>
      </c>
      <c r="I466" s="5">
        <v>93595</v>
      </c>
      <c r="J466" t="str" cm="1">
        <f t="array" ref="J46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66">
        <v>593</v>
      </c>
      <c r="L466" t="s">
        <v>17</v>
      </c>
      <c r="M466">
        <v>0</v>
      </c>
      <c r="N466">
        <v>3450</v>
      </c>
      <c r="O466" t="str" cm="1">
        <f t="array" ref="O46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66" t="s">
        <v>71</v>
      </c>
      <c r="Q466" s="5">
        <v>9100</v>
      </c>
      <c r="R466">
        <v>12</v>
      </c>
      <c r="S466">
        <v>10.78</v>
      </c>
      <c r="T466">
        <v>803.34</v>
      </c>
      <c r="U466">
        <v>54.5</v>
      </c>
      <c r="V466" t="str" cm="1">
        <f t="array" ref="V46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66" t="s">
        <v>24</v>
      </c>
      <c r="X466">
        <v>79</v>
      </c>
      <c r="Y466">
        <v>1</v>
      </c>
      <c r="Z46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66" s="5">
        <f>IF(Merge1[[#This Row],[loan_applications.defaulted]]=1,Merge1[[#This Row],[loan_applications.loan_amount]],0)</f>
        <v>9100</v>
      </c>
    </row>
    <row r="467" spans="1:27" x14ac:dyDescent="0.35">
      <c r="A467" t="s">
        <v>924</v>
      </c>
      <c r="B467" t="s">
        <v>923</v>
      </c>
      <c r="C467" s="1">
        <v>45681</v>
      </c>
      <c r="D467">
        <v>61</v>
      </c>
      <c r="E467" t="s">
        <v>74</v>
      </c>
      <c r="F467" t="s">
        <v>32</v>
      </c>
      <c r="G467" t="s">
        <v>26</v>
      </c>
      <c r="H467">
        <v>32</v>
      </c>
      <c r="I467" s="5">
        <v>93595</v>
      </c>
      <c r="J467" t="str" cm="1">
        <f t="array" ref="J46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67">
        <v>593</v>
      </c>
      <c r="L467" t="s">
        <v>17</v>
      </c>
      <c r="M467">
        <v>0</v>
      </c>
      <c r="N467">
        <v>3450</v>
      </c>
      <c r="O467" t="str" cm="1">
        <f t="array" ref="O46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67" t="s">
        <v>50</v>
      </c>
      <c r="Q467" s="5">
        <v>31600</v>
      </c>
      <c r="R467">
        <v>12</v>
      </c>
      <c r="S467">
        <v>14.44</v>
      </c>
      <c r="T467">
        <v>2843.82</v>
      </c>
      <c r="U467">
        <v>80.7</v>
      </c>
      <c r="V467" t="str" cm="1">
        <f t="array" ref="V46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67" t="s">
        <v>24</v>
      </c>
      <c r="X467">
        <v>108</v>
      </c>
      <c r="Y467">
        <v>1</v>
      </c>
      <c r="Z46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67" s="5">
        <f>IF(Merge1[[#This Row],[loan_applications.defaulted]]=1,Merge1[[#This Row],[loan_applications.loan_amount]],0)</f>
        <v>31600</v>
      </c>
    </row>
    <row r="468" spans="1:27" x14ac:dyDescent="0.35">
      <c r="A468" t="s">
        <v>925</v>
      </c>
      <c r="B468" t="s">
        <v>926</v>
      </c>
      <c r="C468" s="1">
        <v>45344</v>
      </c>
      <c r="D468">
        <v>53</v>
      </c>
      <c r="E468" t="s">
        <v>92</v>
      </c>
      <c r="F468" t="s">
        <v>15</v>
      </c>
      <c r="G468" t="s">
        <v>26</v>
      </c>
      <c r="H468">
        <v>12</v>
      </c>
      <c r="I468" s="5">
        <v>31657</v>
      </c>
      <c r="J468" t="str" cm="1">
        <f t="array" ref="J46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68">
        <v>792</v>
      </c>
      <c r="L468" t="s">
        <v>34</v>
      </c>
      <c r="M468">
        <v>0</v>
      </c>
      <c r="N468">
        <v>183</v>
      </c>
      <c r="O468" t="str" cm="1">
        <f t="array" ref="O46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68" t="s">
        <v>56</v>
      </c>
      <c r="Q468" s="5">
        <v>8800</v>
      </c>
      <c r="R468">
        <v>12</v>
      </c>
      <c r="S468">
        <v>9.35</v>
      </c>
      <c r="T468">
        <v>771</v>
      </c>
      <c r="U468">
        <v>36.200000000000003</v>
      </c>
      <c r="V468" t="str" cm="1">
        <f t="array" ref="V46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68" t="s">
        <v>41</v>
      </c>
      <c r="X468">
        <v>0</v>
      </c>
      <c r="Y468">
        <v>0</v>
      </c>
      <c r="Z468" s="5">
        <f>IF(Merge1[[#This Row],[loan_applications.defaulted]]=0,Merge1[[#This Row],[loan_applications.loan_amount]]*(Merge1[[#This Row],[loan_applications.interest_rate]]/100)*(Merge1[[#This Row],[loan_applications.term_months]]/12),0)</f>
        <v>822.8</v>
      </c>
      <c r="AA468" s="5">
        <f>IF(Merge1[[#This Row],[loan_applications.defaulted]]=1,Merge1[[#This Row],[loan_applications.loan_amount]],0)</f>
        <v>0</v>
      </c>
    </row>
    <row r="469" spans="1:27" x14ac:dyDescent="0.35">
      <c r="A469" t="s">
        <v>927</v>
      </c>
      <c r="B469" t="s">
        <v>928</v>
      </c>
      <c r="C469" s="1">
        <v>45345</v>
      </c>
      <c r="D469">
        <v>53</v>
      </c>
      <c r="E469" t="s">
        <v>42</v>
      </c>
      <c r="F469" t="s">
        <v>62</v>
      </c>
      <c r="G469" t="s">
        <v>16</v>
      </c>
      <c r="H469">
        <v>0</v>
      </c>
      <c r="I469" s="5">
        <v>95840</v>
      </c>
      <c r="J469" t="str" cm="1">
        <f t="array" ref="J46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69">
        <v>660</v>
      </c>
      <c r="L469" t="s">
        <v>27</v>
      </c>
      <c r="M469">
        <v>3</v>
      </c>
      <c r="N469">
        <v>3734</v>
      </c>
      <c r="O469" t="str" cm="1">
        <f t="array" ref="O46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69" t="s">
        <v>23</v>
      </c>
      <c r="Q469" s="5">
        <v>45000</v>
      </c>
      <c r="R469">
        <v>24</v>
      </c>
      <c r="S469">
        <v>9.1999999999999993</v>
      </c>
      <c r="T469">
        <v>2059.9499999999998</v>
      </c>
      <c r="U469">
        <v>72.5</v>
      </c>
      <c r="V469" t="str" cm="1">
        <f t="array" ref="V46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69" t="s">
        <v>41</v>
      </c>
      <c r="X469">
        <v>0</v>
      </c>
      <c r="Y469">
        <v>0</v>
      </c>
      <c r="Z469" s="5">
        <f>IF(Merge1[[#This Row],[loan_applications.defaulted]]=0,Merge1[[#This Row],[loan_applications.loan_amount]]*(Merge1[[#This Row],[loan_applications.interest_rate]]/100)*(Merge1[[#This Row],[loan_applications.term_months]]/12),0)</f>
        <v>8280</v>
      </c>
      <c r="AA469" s="5">
        <f>IF(Merge1[[#This Row],[loan_applications.defaulted]]=1,Merge1[[#This Row],[loan_applications.loan_amount]],0)</f>
        <v>0</v>
      </c>
    </row>
    <row r="470" spans="1:27" x14ac:dyDescent="0.35">
      <c r="A470" t="s">
        <v>929</v>
      </c>
      <c r="B470" t="s">
        <v>930</v>
      </c>
      <c r="C470" s="1">
        <v>45603</v>
      </c>
      <c r="D470">
        <v>64</v>
      </c>
      <c r="E470" t="s">
        <v>25</v>
      </c>
      <c r="F470" t="s">
        <v>32</v>
      </c>
      <c r="G470" t="s">
        <v>75</v>
      </c>
      <c r="H470">
        <v>6</v>
      </c>
      <c r="I470" s="5">
        <v>54199</v>
      </c>
      <c r="J470" t="str" cm="1">
        <f t="array" ref="J47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70">
        <v>568</v>
      </c>
      <c r="L470" t="s">
        <v>17</v>
      </c>
      <c r="M470">
        <v>0</v>
      </c>
      <c r="N470">
        <v>2458</v>
      </c>
      <c r="O470" t="str" cm="1">
        <f t="array" ref="O47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70" t="s">
        <v>71</v>
      </c>
      <c r="Q470" s="5">
        <v>5800</v>
      </c>
      <c r="R470">
        <v>48</v>
      </c>
      <c r="S470">
        <v>12.35</v>
      </c>
      <c r="T470">
        <v>153.72999999999999</v>
      </c>
      <c r="U470">
        <v>57.8</v>
      </c>
      <c r="V470" t="str" cm="1">
        <f t="array" ref="V47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70" t="s">
        <v>24</v>
      </c>
      <c r="X470">
        <v>33</v>
      </c>
      <c r="Y470">
        <v>1</v>
      </c>
      <c r="Z47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70" s="5">
        <f>IF(Merge1[[#This Row],[loan_applications.defaulted]]=1,Merge1[[#This Row],[loan_applications.loan_amount]],0)</f>
        <v>5800</v>
      </c>
    </row>
    <row r="471" spans="1:27" x14ac:dyDescent="0.35">
      <c r="A471" t="s">
        <v>931</v>
      </c>
      <c r="B471" t="s">
        <v>932</v>
      </c>
      <c r="C471" s="1">
        <v>45833</v>
      </c>
      <c r="D471">
        <v>40</v>
      </c>
      <c r="E471" t="s">
        <v>125</v>
      </c>
      <c r="F471" t="s">
        <v>68</v>
      </c>
      <c r="G471" t="s">
        <v>26</v>
      </c>
      <c r="H471">
        <v>9</v>
      </c>
      <c r="I471" s="5">
        <v>66968</v>
      </c>
      <c r="J471" t="str" cm="1">
        <f t="array" ref="J47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71">
        <v>555</v>
      </c>
      <c r="L471" t="s">
        <v>34</v>
      </c>
      <c r="M471">
        <v>1</v>
      </c>
      <c r="N471">
        <v>2339</v>
      </c>
      <c r="O471" t="str" cm="1">
        <f t="array" ref="O47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71" t="s">
        <v>50</v>
      </c>
      <c r="Q471" s="5">
        <v>35100</v>
      </c>
      <c r="R471">
        <v>36</v>
      </c>
      <c r="S471">
        <v>14.46</v>
      </c>
      <c r="T471">
        <v>1207.49</v>
      </c>
      <c r="U471">
        <v>63.5</v>
      </c>
      <c r="V471" t="str" cm="1">
        <f t="array" ref="V47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71" t="s">
        <v>41</v>
      </c>
      <c r="X471">
        <v>0</v>
      </c>
      <c r="Y471">
        <v>0</v>
      </c>
      <c r="Z471" s="5">
        <f>IF(Merge1[[#This Row],[loan_applications.defaulted]]=0,Merge1[[#This Row],[loan_applications.loan_amount]]*(Merge1[[#This Row],[loan_applications.interest_rate]]/100)*(Merge1[[#This Row],[loan_applications.term_months]]/12),0)</f>
        <v>15226.380000000001</v>
      </c>
      <c r="AA471" s="5">
        <f>IF(Merge1[[#This Row],[loan_applications.defaulted]]=1,Merge1[[#This Row],[loan_applications.loan_amount]],0)</f>
        <v>0</v>
      </c>
    </row>
    <row r="472" spans="1:27" x14ac:dyDescent="0.35">
      <c r="A472" t="s">
        <v>933</v>
      </c>
      <c r="B472" t="s">
        <v>934</v>
      </c>
      <c r="C472" s="1">
        <v>45487</v>
      </c>
      <c r="D472">
        <v>28</v>
      </c>
      <c r="E472" t="s">
        <v>14</v>
      </c>
      <c r="F472" t="s">
        <v>62</v>
      </c>
      <c r="G472" t="s">
        <v>33</v>
      </c>
      <c r="H472">
        <v>2</v>
      </c>
      <c r="I472" s="5">
        <v>55429</v>
      </c>
      <c r="J472" t="str" cm="1">
        <f t="array" ref="J47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72">
        <v>600</v>
      </c>
      <c r="L472" t="s">
        <v>34</v>
      </c>
      <c r="M472">
        <v>1</v>
      </c>
      <c r="N472">
        <v>1667</v>
      </c>
      <c r="O472" t="str" cm="1">
        <f t="array" ref="O47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72" t="s">
        <v>54</v>
      </c>
      <c r="Q472" s="5">
        <v>8300</v>
      </c>
      <c r="R472">
        <v>60</v>
      </c>
      <c r="S472">
        <v>10.6</v>
      </c>
      <c r="T472">
        <v>178.81</v>
      </c>
      <c r="U472">
        <v>40</v>
      </c>
      <c r="V472" t="str" cm="1">
        <f t="array" ref="V47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72" t="s">
        <v>24</v>
      </c>
      <c r="X472">
        <v>144</v>
      </c>
      <c r="Y472">
        <v>1</v>
      </c>
      <c r="Z47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72" s="5">
        <f>IF(Merge1[[#This Row],[loan_applications.defaulted]]=1,Merge1[[#This Row],[loan_applications.loan_amount]],0)</f>
        <v>8300</v>
      </c>
    </row>
    <row r="473" spans="1:27" x14ac:dyDescent="0.35">
      <c r="A473" t="s">
        <v>935</v>
      </c>
      <c r="B473" t="s">
        <v>936</v>
      </c>
      <c r="C473" s="1">
        <v>45498</v>
      </c>
      <c r="D473">
        <v>68</v>
      </c>
      <c r="E473" t="s">
        <v>31</v>
      </c>
      <c r="F473" t="s">
        <v>15</v>
      </c>
      <c r="G473" t="s">
        <v>33</v>
      </c>
      <c r="H473">
        <v>25</v>
      </c>
      <c r="I473" s="5">
        <v>28837</v>
      </c>
      <c r="J473" t="str" cm="1">
        <f t="array" ref="J47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73">
        <v>730</v>
      </c>
      <c r="L473" t="s">
        <v>17</v>
      </c>
      <c r="M473">
        <v>3</v>
      </c>
      <c r="N473">
        <v>949</v>
      </c>
      <c r="O473" t="str" cm="1">
        <f t="array" ref="O47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73" t="s">
        <v>54</v>
      </c>
      <c r="Q473" s="5">
        <v>26300</v>
      </c>
      <c r="R473">
        <v>36</v>
      </c>
      <c r="S473">
        <v>11.46</v>
      </c>
      <c r="T473">
        <v>866.77</v>
      </c>
      <c r="U473">
        <v>75.599999999999994</v>
      </c>
      <c r="V473" t="str" cm="1">
        <f t="array" ref="V47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73" t="s">
        <v>41</v>
      </c>
      <c r="X473">
        <v>0</v>
      </c>
      <c r="Y473">
        <v>0</v>
      </c>
      <c r="Z473" s="5">
        <f>IF(Merge1[[#This Row],[loan_applications.defaulted]]=0,Merge1[[#This Row],[loan_applications.loan_amount]]*(Merge1[[#This Row],[loan_applications.interest_rate]]/100)*(Merge1[[#This Row],[loan_applications.term_months]]/12),0)</f>
        <v>9041.94</v>
      </c>
      <c r="AA473" s="5">
        <f>IF(Merge1[[#This Row],[loan_applications.defaulted]]=1,Merge1[[#This Row],[loan_applications.loan_amount]],0)</f>
        <v>0</v>
      </c>
    </row>
    <row r="474" spans="1:27" x14ac:dyDescent="0.35">
      <c r="A474" t="s">
        <v>937</v>
      </c>
      <c r="B474" t="s">
        <v>936</v>
      </c>
      <c r="C474" s="1">
        <v>45666</v>
      </c>
      <c r="D474">
        <v>68</v>
      </c>
      <c r="E474" t="s">
        <v>31</v>
      </c>
      <c r="F474" t="s">
        <v>15</v>
      </c>
      <c r="G474" t="s">
        <v>33</v>
      </c>
      <c r="H474">
        <v>25</v>
      </c>
      <c r="I474" s="5">
        <v>28837</v>
      </c>
      <c r="J474" t="str" cm="1">
        <f t="array" ref="J47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74">
        <v>730</v>
      </c>
      <c r="L474" t="s">
        <v>17</v>
      </c>
      <c r="M474">
        <v>3</v>
      </c>
      <c r="N474">
        <v>949</v>
      </c>
      <c r="O474" t="str" cm="1">
        <f t="array" ref="O47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74" t="s">
        <v>23</v>
      </c>
      <c r="Q474" s="5">
        <v>8500</v>
      </c>
      <c r="R474">
        <v>60</v>
      </c>
      <c r="S474">
        <v>12.71</v>
      </c>
      <c r="T474">
        <v>192.14</v>
      </c>
      <c r="U474">
        <v>47.5</v>
      </c>
      <c r="V474" t="str" cm="1">
        <f t="array" ref="V47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74" t="s">
        <v>21</v>
      </c>
      <c r="X474">
        <v>0</v>
      </c>
      <c r="Y474">
        <v>0</v>
      </c>
      <c r="Z474" s="5">
        <f>IF(Merge1[[#This Row],[loan_applications.defaulted]]=0,Merge1[[#This Row],[loan_applications.loan_amount]]*(Merge1[[#This Row],[loan_applications.interest_rate]]/100)*(Merge1[[#This Row],[loan_applications.term_months]]/12),0)</f>
        <v>5401.7500000000009</v>
      </c>
      <c r="AA474" s="5">
        <f>IF(Merge1[[#This Row],[loan_applications.defaulted]]=1,Merge1[[#This Row],[loan_applications.loan_amount]],0)</f>
        <v>0</v>
      </c>
    </row>
    <row r="475" spans="1:27" x14ac:dyDescent="0.35">
      <c r="A475" t="s">
        <v>938</v>
      </c>
      <c r="B475" t="s">
        <v>939</v>
      </c>
      <c r="C475" s="1">
        <v>45572</v>
      </c>
      <c r="D475">
        <v>52</v>
      </c>
      <c r="E475" t="s">
        <v>38</v>
      </c>
      <c r="F475" t="s">
        <v>62</v>
      </c>
      <c r="G475" t="s">
        <v>63</v>
      </c>
      <c r="H475">
        <v>8</v>
      </c>
      <c r="I475" s="5">
        <v>67635</v>
      </c>
      <c r="J475" t="str" cm="1">
        <f t="array" ref="J47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75">
        <v>592</v>
      </c>
      <c r="L475" t="s">
        <v>17</v>
      </c>
      <c r="M475">
        <v>4</v>
      </c>
      <c r="N475">
        <v>2661</v>
      </c>
      <c r="O475" t="str" cm="1">
        <f t="array" ref="O47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75" t="s">
        <v>23</v>
      </c>
      <c r="Q475" s="5">
        <v>47700</v>
      </c>
      <c r="R475">
        <v>12</v>
      </c>
      <c r="S475">
        <v>10.97</v>
      </c>
      <c r="T475">
        <v>4215.1400000000003</v>
      </c>
      <c r="U475">
        <v>122</v>
      </c>
      <c r="V475" t="str" cm="1">
        <f t="array" ref="V47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75" t="s">
        <v>41</v>
      </c>
      <c r="X475">
        <v>0</v>
      </c>
      <c r="Y475">
        <v>0</v>
      </c>
      <c r="Z475" s="5">
        <f>IF(Merge1[[#This Row],[loan_applications.defaulted]]=0,Merge1[[#This Row],[loan_applications.loan_amount]]*(Merge1[[#This Row],[loan_applications.interest_rate]]/100)*(Merge1[[#This Row],[loan_applications.term_months]]/12),0)</f>
        <v>5232.6900000000005</v>
      </c>
      <c r="AA475" s="5">
        <f>IF(Merge1[[#This Row],[loan_applications.defaulted]]=1,Merge1[[#This Row],[loan_applications.loan_amount]],0)</f>
        <v>0</v>
      </c>
    </row>
    <row r="476" spans="1:27" x14ac:dyDescent="0.35">
      <c r="A476" t="s">
        <v>940</v>
      </c>
      <c r="B476" t="s">
        <v>941</v>
      </c>
      <c r="C476" s="1">
        <v>45368</v>
      </c>
      <c r="D476">
        <v>28</v>
      </c>
      <c r="E476" t="s">
        <v>169</v>
      </c>
      <c r="F476" t="s">
        <v>32</v>
      </c>
      <c r="G476" t="s">
        <v>63</v>
      </c>
      <c r="H476">
        <v>2</v>
      </c>
      <c r="I476" s="5">
        <v>50481</v>
      </c>
      <c r="J476" t="str" cm="1">
        <f t="array" ref="J47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76">
        <v>754</v>
      </c>
      <c r="L476" t="s">
        <v>34</v>
      </c>
      <c r="M476">
        <v>1</v>
      </c>
      <c r="N476">
        <v>270</v>
      </c>
      <c r="O476" t="str" cm="1">
        <f t="array" ref="O47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76" t="s">
        <v>56</v>
      </c>
      <c r="Q476" s="5">
        <v>21100</v>
      </c>
      <c r="R476">
        <v>60</v>
      </c>
      <c r="S476">
        <v>11.78</v>
      </c>
      <c r="T476">
        <v>467.02</v>
      </c>
      <c r="U476">
        <v>17.5</v>
      </c>
      <c r="V476" t="str" cm="1">
        <f t="array" ref="V47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76" t="s">
        <v>41</v>
      </c>
      <c r="X476">
        <v>0</v>
      </c>
      <c r="Y476">
        <v>0</v>
      </c>
      <c r="Z476" s="5">
        <f>IF(Merge1[[#This Row],[loan_applications.defaulted]]=0,Merge1[[#This Row],[loan_applications.loan_amount]]*(Merge1[[#This Row],[loan_applications.interest_rate]]/100)*(Merge1[[#This Row],[loan_applications.term_months]]/12),0)</f>
        <v>12427.9</v>
      </c>
      <c r="AA476" s="5">
        <f>IF(Merge1[[#This Row],[loan_applications.defaulted]]=1,Merge1[[#This Row],[loan_applications.loan_amount]],0)</f>
        <v>0</v>
      </c>
    </row>
    <row r="477" spans="1:27" x14ac:dyDescent="0.35">
      <c r="A477" t="s">
        <v>942</v>
      </c>
      <c r="B477" t="s">
        <v>943</v>
      </c>
      <c r="C477" s="1">
        <v>45515</v>
      </c>
      <c r="D477">
        <v>65</v>
      </c>
      <c r="E477" t="s">
        <v>92</v>
      </c>
      <c r="F477" t="s">
        <v>62</v>
      </c>
      <c r="G477" t="s">
        <v>16</v>
      </c>
      <c r="H477">
        <v>31</v>
      </c>
      <c r="I477" s="5">
        <v>131113</v>
      </c>
      <c r="J477" t="str" cm="1">
        <f t="array" ref="J47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77">
        <v>797</v>
      </c>
      <c r="L477" t="s">
        <v>27</v>
      </c>
      <c r="M477">
        <v>1</v>
      </c>
      <c r="N477">
        <v>892</v>
      </c>
      <c r="O477" t="str" cm="1">
        <f t="array" ref="O47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77" t="s">
        <v>23</v>
      </c>
      <c r="Q477" s="5">
        <v>11900</v>
      </c>
      <c r="R477">
        <v>12</v>
      </c>
      <c r="S477">
        <v>7.52</v>
      </c>
      <c r="T477">
        <v>1032.52</v>
      </c>
      <c r="U477">
        <v>17.600000000000001</v>
      </c>
      <c r="V477" t="str" cm="1">
        <f t="array" ref="V47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77" t="s">
        <v>21</v>
      </c>
      <c r="X477">
        <v>0</v>
      </c>
      <c r="Y477">
        <v>0</v>
      </c>
      <c r="Z477" s="5">
        <f>IF(Merge1[[#This Row],[loan_applications.defaulted]]=0,Merge1[[#This Row],[loan_applications.loan_amount]]*(Merge1[[#This Row],[loan_applications.interest_rate]]/100)*(Merge1[[#This Row],[loan_applications.term_months]]/12),0)</f>
        <v>894.87999999999988</v>
      </c>
      <c r="AA477" s="5">
        <f>IF(Merge1[[#This Row],[loan_applications.defaulted]]=1,Merge1[[#This Row],[loan_applications.loan_amount]],0)</f>
        <v>0</v>
      </c>
    </row>
    <row r="478" spans="1:27" x14ac:dyDescent="0.35">
      <c r="A478" t="s">
        <v>944</v>
      </c>
      <c r="B478" t="s">
        <v>945</v>
      </c>
      <c r="C478" s="1">
        <v>45595</v>
      </c>
      <c r="D478">
        <v>63</v>
      </c>
      <c r="E478" t="s">
        <v>125</v>
      </c>
      <c r="F478" t="s">
        <v>68</v>
      </c>
      <c r="G478" t="s">
        <v>16</v>
      </c>
      <c r="H478">
        <v>14</v>
      </c>
      <c r="I478" s="5">
        <v>60720</v>
      </c>
      <c r="J478" t="str" cm="1">
        <f t="array" ref="J47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78">
        <v>830</v>
      </c>
      <c r="L478" t="s">
        <v>17</v>
      </c>
      <c r="M478">
        <v>3</v>
      </c>
      <c r="N478">
        <v>1566</v>
      </c>
      <c r="O478" t="str" cm="1">
        <f t="array" ref="O47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78" t="s">
        <v>30</v>
      </c>
      <c r="Q478" s="5">
        <v>27200</v>
      </c>
      <c r="R478">
        <v>36</v>
      </c>
      <c r="S478">
        <v>10.43</v>
      </c>
      <c r="T478">
        <v>883.17</v>
      </c>
      <c r="U478">
        <v>48.4</v>
      </c>
      <c r="V478" t="str" cm="1">
        <f t="array" ref="V47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78" t="s">
        <v>41</v>
      </c>
      <c r="X478">
        <v>0</v>
      </c>
      <c r="Y478">
        <v>0</v>
      </c>
      <c r="Z478" s="5">
        <f>IF(Merge1[[#This Row],[loan_applications.defaulted]]=0,Merge1[[#This Row],[loan_applications.loan_amount]]*(Merge1[[#This Row],[loan_applications.interest_rate]]/100)*(Merge1[[#This Row],[loan_applications.term_months]]/12),0)</f>
        <v>8510.880000000001</v>
      </c>
      <c r="AA478" s="5">
        <f>IF(Merge1[[#This Row],[loan_applications.defaulted]]=1,Merge1[[#This Row],[loan_applications.loan_amount]],0)</f>
        <v>0</v>
      </c>
    </row>
    <row r="479" spans="1:27" x14ac:dyDescent="0.35">
      <c r="A479" t="s">
        <v>946</v>
      </c>
      <c r="B479" t="s">
        <v>947</v>
      </c>
      <c r="C479" s="1">
        <v>45568</v>
      </c>
      <c r="D479">
        <v>66</v>
      </c>
      <c r="E479" t="s">
        <v>125</v>
      </c>
      <c r="F479" t="s">
        <v>62</v>
      </c>
      <c r="G479" t="s">
        <v>26</v>
      </c>
      <c r="H479">
        <v>30</v>
      </c>
      <c r="I479" s="5">
        <v>111374</v>
      </c>
      <c r="J479" t="str" cm="1">
        <f t="array" ref="J47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79">
        <v>672</v>
      </c>
      <c r="L479" t="s">
        <v>34</v>
      </c>
      <c r="M479">
        <v>2</v>
      </c>
      <c r="N479">
        <v>1153</v>
      </c>
      <c r="O479" t="str" cm="1">
        <f t="array" ref="O47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79" t="s">
        <v>56</v>
      </c>
      <c r="Q479" s="5">
        <v>32700</v>
      </c>
      <c r="R479">
        <v>36</v>
      </c>
      <c r="S479">
        <v>13.44</v>
      </c>
      <c r="T479">
        <v>1108.74</v>
      </c>
      <c r="U479">
        <v>24.4</v>
      </c>
      <c r="V479" t="str" cm="1">
        <f t="array" ref="V47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79" t="s">
        <v>21</v>
      </c>
      <c r="X479">
        <v>0</v>
      </c>
      <c r="Y479">
        <v>0</v>
      </c>
      <c r="Z479" s="5">
        <f>IF(Merge1[[#This Row],[loan_applications.defaulted]]=0,Merge1[[#This Row],[loan_applications.loan_amount]]*(Merge1[[#This Row],[loan_applications.interest_rate]]/100)*(Merge1[[#This Row],[loan_applications.term_months]]/12),0)</f>
        <v>13184.64</v>
      </c>
      <c r="AA479" s="5">
        <f>IF(Merge1[[#This Row],[loan_applications.defaulted]]=1,Merge1[[#This Row],[loan_applications.loan_amount]],0)</f>
        <v>0</v>
      </c>
    </row>
    <row r="480" spans="1:27" x14ac:dyDescent="0.35">
      <c r="A480" t="s">
        <v>948</v>
      </c>
      <c r="B480" t="s">
        <v>949</v>
      </c>
      <c r="C480" s="1">
        <v>45669</v>
      </c>
      <c r="D480">
        <v>57</v>
      </c>
      <c r="E480" t="s">
        <v>330</v>
      </c>
      <c r="F480" t="s">
        <v>62</v>
      </c>
      <c r="G480" t="s">
        <v>63</v>
      </c>
      <c r="H480">
        <v>32</v>
      </c>
      <c r="I480" s="5">
        <v>30579</v>
      </c>
      <c r="J480" t="str" cm="1">
        <f t="array" ref="J48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0">
        <v>605</v>
      </c>
      <c r="L480" t="s">
        <v>17</v>
      </c>
      <c r="M480">
        <v>1</v>
      </c>
      <c r="N480">
        <v>338</v>
      </c>
      <c r="O480" t="str" cm="1">
        <f t="array" ref="O48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80" t="s">
        <v>56</v>
      </c>
      <c r="Q480" s="5">
        <v>2000</v>
      </c>
      <c r="R480">
        <v>36</v>
      </c>
      <c r="S480">
        <v>13.08</v>
      </c>
      <c r="T480">
        <v>67.459999999999994</v>
      </c>
      <c r="U480">
        <v>15.9</v>
      </c>
      <c r="V480" t="str" cm="1">
        <f t="array" ref="V48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480" t="s">
        <v>91</v>
      </c>
      <c r="X480">
        <v>15</v>
      </c>
      <c r="Y480">
        <v>0</v>
      </c>
      <c r="Z480" s="5">
        <f>IF(Merge1[[#This Row],[loan_applications.defaulted]]=0,Merge1[[#This Row],[loan_applications.loan_amount]]*(Merge1[[#This Row],[loan_applications.interest_rate]]/100)*(Merge1[[#This Row],[loan_applications.term_months]]/12),0)</f>
        <v>784.80000000000007</v>
      </c>
      <c r="AA480" s="5">
        <f>IF(Merge1[[#This Row],[loan_applications.defaulted]]=1,Merge1[[#This Row],[loan_applications.loan_amount]],0)</f>
        <v>0</v>
      </c>
    </row>
    <row r="481" spans="1:27" x14ac:dyDescent="0.35">
      <c r="A481" t="s">
        <v>950</v>
      </c>
      <c r="B481" t="s">
        <v>949</v>
      </c>
      <c r="C481" s="1">
        <v>45350</v>
      </c>
      <c r="D481">
        <v>57</v>
      </c>
      <c r="E481" t="s">
        <v>330</v>
      </c>
      <c r="F481" t="s">
        <v>62</v>
      </c>
      <c r="G481" t="s">
        <v>63</v>
      </c>
      <c r="H481">
        <v>32</v>
      </c>
      <c r="I481" s="5">
        <v>30579</v>
      </c>
      <c r="J481" t="str" cm="1">
        <f t="array" ref="J48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1">
        <v>605</v>
      </c>
      <c r="L481" t="s">
        <v>17</v>
      </c>
      <c r="M481">
        <v>1</v>
      </c>
      <c r="N481">
        <v>338</v>
      </c>
      <c r="O481" t="str" cm="1">
        <f t="array" ref="O48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81" t="s">
        <v>37</v>
      </c>
      <c r="Q481" s="5">
        <v>15700</v>
      </c>
      <c r="R481">
        <v>60</v>
      </c>
      <c r="S481">
        <v>11.39</v>
      </c>
      <c r="T481">
        <v>344.42</v>
      </c>
      <c r="U481">
        <v>26.8</v>
      </c>
      <c r="V481" t="str" cm="1">
        <f t="array" ref="V48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81" t="s">
        <v>41</v>
      </c>
      <c r="X481">
        <v>0</v>
      </c>
      <c r="Y481">
        <v>0</v>
      </c>
      <c r="Z481" s="5">
        <f>IF(Merge1[[#This Row],[loan_applications.defaulted]]=0,Merge1[[#This Row],[loan_applications.loan_amount]]*(Merge1[[#This Row],[loan_applications.interest_rate]]/100)*(Merge1[[#This Row],[loan_applications.term_months]]/12),0)</f>
        <v>8941.15</v>
      </c>
      <c r="AA481" s="5">
        <f>IF(Merge1[[#This Row],[loan_applications.defaulted]]=1,Merge1[[#This Row],[loan_applications.loan_amount]],0)</f>
        <v>0</v>
      </c>
    </row>
    <row r="482" spans="1:27" x14ac:dyDescent="0.35">
      <c r="A482" t="s">
        <v>951</v>
      </c>
      <c r="B482" t="s">
        <v>952</v>
      </c>
      <c r="C482" s="1">
        <v>45400</v>
      </c>
      <c r="D482">
        <v>53</v>
      </c>
      <c r="E482" t="s">
        <v>67</v>
      </c>
      <c r="F482" t="s">
        <v>68</v>
      </c>
      <c r="G482" t="s">
        <v>26</v>
      </c>
      <c r="H482">
        <v>14</v>
      </c>
      <c r="I482" s="5">
        <v>42250</v>
      </c>
      <c r="J482" t="str" cm="1">
        <f t="array" ref="J48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2">
        <v>789</v>
      </c>
      <c r="L482" t="s">
        <v>34</v>
      </c>
      <c r="M482">
        <v>1</v>
      </c>
      <c r="N482">
        <v>589</v>
      </c>
      <c r="O482" t="str" cm="1">
        <f t="array" ref="O48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82" t="s">
        <v>37</v>
      </c>
      <c r="Q482" s="5">
        <v>21100</v>
      </c>
      <c r="R482">
        <v>60</v>
      </c>
      <c r="S482">
        <v>10.14</v>
      </c>
      <c r="T482">
        <v>449.77</v>
      </c>
      <c r="U482">
        <v>29.5</v>
      </c>
      <c r="V482" t="str" cm="1">
        <f t="array" ref="V48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82" t="s">
        <v>21</v>
      </c>
      <c r="X482">
        <v>0</v>
      </c>
      <c r="Y482">
        <v>0</v>
      </c>
      <c r="Z482" s="5">
        <f>IF(Merge1[[#This Row],[loan_applications.defaulted]]=0,Merge1[[#This Row],[loan_applications.loan_amount]]*(Merge1[[#This Row],[loan_applications.interest_rate]]/100)*(Merge1[[#This Row],[loan_applications.term_months]]/12),0)</f>
        <v>10697.7</v>
      </c>
      <c r="AA482" s="5">
        <f>IF(Merge1[[#This Row],[loan_applications.defaulted]]=1,Merge1[[#This Row],[loan_applications.loan_amount]],0)</f>
        <v>0</v>
      </c>
    </row>
    <row r="483" spans="1:27" x14ac:dyDescent="0.35">
      <c r="A483" t="s">
        <v>953</v>
      </c>
      <c r="B483" t="s">
        <v>954</v>
      </c>
      <c r="C483" s="1">
        <v>45500</v>
      </c>
      <c r="D483">
        <v>51</v>
      </c>
      <c r="E483" t="s">
        <v>113</v>
      </c>
      <c r="F483" t="s">
        <v>32</v>
      </c>
      <c r="G483" t="s">
        <v>63</v>
      </c>
      <c r="H483">
        <v>28</v>
      </c>
      <c r="I483" s="5">
        <v>25418</v>
      </c>
      <c r="J483" t="str" cm="1">
        <f t="array" ref="J48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3">
        <v>780</v>
      </c>
      <c r="L483" t="s">
        <v>34</v>
      </c>
      <c r="M483">
        <v>2</v>
      </c>
      <c r="N483">
        <v>124</v>
      </c>
      <c r="O483" t="str" cm="1">
        <f t="array" ref="O48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83" t="s">
        <v>71</v>
      </c>
      <c r="Q483" s="5">
        <v>20300</v>
      </c>
      <c r="R483">
        <v>24</v>
      </c>
      <c r="S483">
        <v>8.6199999999999992</v>
      </c>
      <c r="T483">
        <v>923.86</v>
      </c>
      <c r="U483">
        <v>49.5</v>
      </c>
      <c r="V483" t="str" cm="1">
        <f t="array" ref="V48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83" t="s">
        <v>21</v>
      </c>
      <c r="X483">
        <v>0</v>
      </c>
      <c r="Y483">
        <v>0</v>
      </c>
      <c r="Z483" s="5">
        <f>IF(Merge1[[#This Row],[loan_applications.defaulted]]=0,Merge1[[#This Row],[loan_applications.loan_amount]]*(Merge1[[#This Row],[loan_applications.interest_rate]]/100)*(Merge1[[#This Row],[loan_applications.term_months]]/12),0)</f>
        <v>3499.72</v>
      </c>
      <c r="AA483" s="5">
        <f>IF(Merge1[[#This Row],[loan_applications.defaulted]]=1,Merge1[[#This Row],[loan_applications.loan_amount]],0)</f>
        <v>0</v>
      </c>
    </row>
    <row r="484" spans="1:27" x14ac:dyDescent="0.35">
      <c r="A484" t="s">
        <v>955</v>
      </c>
      <c r="B484" t="s">
        <v>956</v>
      </c>
      <c r="C484" s="1">
        <v>45387</v>
      </c>
      <c r="D484">
        <v>47</v>
      </c>
      <c r="E484" t="s">
        <v>252</v>
      </c>
      <c r="F484" t="s">
        <v>32</v>
      </c>
      <c r="G484" t="s">
        <v>63</v>
      </c>
      <c r="H484">
        <v>25</v>
      </c>
      <c r="I484" s="5">
        <v>22335</v>
      </c>
      <c r="J484" t="str" cm="1">
        <f t="array" ref="J48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4">
        <v>571</v>
      </c>
      <c r="L484" t="s">
        <v>34</v>
      </c>
      <c r="M484">
        <v>2</v>
      </c>
      <c r="N484">
        <v>921</v>
      </c>
      <c r="O484" t="str" cm="1">
        <f t="array" ref="O48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84" t="s">
        <v>56</v>
      </c>
      <c r="Q484" s="5">
        <v>12500</v>
      </c>
      <c r="R484">
        <v>24</v>
      </c>
      <c r="S484">
        <v>14.99</v>
      </c>
      <c r="T484">
        <v>606.02</v>
      </c>
      <c r="U484">
        <v>82</v>
      </c>
      <c r="V484" t="str" cm="1">
        <f t="array" ref="V48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84" t="s">
        <v>24</v>
      </c>
      <c r="X484">
        <v>147</v>
      </c>
      <c r="Y484">
        <v>1</v>
      </c>
      <c r="Z48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84" s="5">
        <f>IF(Merge1[[#This Row],[loan_applications.defaulted]]=1,Merge1[[#This Row],[loan_applications.loan_amount]],0)</f>
        <v>12500</v>
      </c>
    </row>
    <row r="485" spans="1:27" x14ac:dyDescent="0.35">
      <c r="A485" t="s">
        <v>957</v>
      </c>
      <c r="B485" t="s">
        <v>958</v>
      </c>
      <c r="C485" s="1">
        <v>45313</v>
      </c>
      <c r="D485">
        <v>57</v>
      </c>
      <c r="E485" t="s">
        <v>330</v>
      </c>
      <c r="F485" t="s">
        <v>68</v>
      </c>
      <c r="G485" t="s">
        <v>16</v>
      </c>
      <c r="H485">
        <v>3</v>
      </c>
      <c r="I485" s="5">
        <v>73306</v>
      </c>
      <c r="J485" t="str" cm="1">
        <f t="array" ref="J48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85">
        <v>721</v>
      </c>
      <c r="L485" t="s">
        <v>17</v>
      </c>
      <c r="M485">
        <v>1</v>
      </c>
      <c r="N485">
        <v>2016</v>
      </c>
      <c r="O485" t="str" cm="1">
        <f t="array" ref="O48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485" t="s">
        <v>50</v>
      </c>
      <c r="Q485" s="5">
        <v>20000</v>
      </c>
      <c r="R485">
        <v>24</v>
      </c>
      <c r="S485">
        <v>11.22</v>
      </c>
      <c r="T485">
        <v>934.2</v>
      </c>
      <c r="U485">
        <v>48.3</v>
      </c>
      <c r="V485" t="str" cm="1">
        <f t="array" ref="V48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85" t="s">
        <v>91</v>
      </c>
      <c r="X485">
        <v>15</v>
      </c>
      <c r="Y485">
        <v>0</v>
      </c>
      <c r="Z485" s="5">
        <f>IF(Merge1[[#This Row],[loan_applications.defaulted]]=0,Merge1[[#This Row],[loan_applications.loan_amount]]*(Merge1[[#This Row],[loan_applications.interest_rate]]/100)*(Merge1[[#This Row],[loan_applications.term_months]]/12),0)</f>
        <v>4488</v>
      </c>
      <c r="AA485" s="5">
        <f>IF(Merge1[[#This Row],[loan_applications.defaulted]]=1,Merge1[[#This Row],[loan_applications.loan_amount]],0)</f>
        <v>0</v>
      </c>
    </row>
    <row r="486" spans="1:27" x14ac:dyDescent="0.35">
      <c r="A486" t="s">
        <v>959</v>
      </c>
      <c r="B486" t="s">
        <v>960</v>
      </c>
      <c r="C486" s="1">
        <v>45704</v>
      </c>
      <c r="D486">
        <v>61</v>
      </c>
      <c r="E486" t="s">
        <v>125</v>
      </c>
      <c r="F486" t="s">
        <v>32</v>
      </c>
      <c r="G486" t="s">
        <v>16</v>
      </c>
      <c r="H486">
        <v>7</v>
      </c>
      <c r="I486" s="5">
        <v>63778</v>
      </c>
      <c r="J486" t="str" cm="1">
        <f t="array" ref="J48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86">
        <v>766</v>
      </c>
      <c r="L486" t="s">
        <v>27</v>
      </c>
      <c r="M486">
        <v>0</v>
      </c>
      <c r="N486">
        <v>1172</v>
      </c>
      <c r="O486" t="str" cm="1">
        <f t="array" ref="O48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86" t="s">
        <v>56</v>
      </c>
      <c r="Q486" s="5">
        <v>3600</v>
      </c>
      <c r="R486">
        <v>24</v>
      </c>
      <c r="S486">
        <v>9.51</v>
      </c>
      <c r="T486">
        <v>165.31</v>
      </c>
      <c r="U486">
        <v>25.2</v>
      </c>
      <c r="V486" t="str" cm="1">
        <f t="array" ref="V48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86" t="s">
        <v>21</v>
      </c>
      <c r="X486">
        <v>0</v>
      </c>
      <c r="Y486">
        <v>0</v>
      </c>
      <c r="Z486" s="5">
        <f>IF(Merge1[[#This Row],[loan_applications.defaulted]]=0,Merge1[[#This Row],[loan_applications.loan_amount]]*(Merge1[[#This Row],[loan_applications.interest_rate]]/100)*(Merge1[[#This Row],[loan_applications.term_months]]/12),0)</f>
        <v>684.72</v>
      </c>
      <c r="AA486" s="5">
        <f>IF(Merge1[[#This Row],[loan_applications.defaulted]]=1,Merge1[[#This Row],[loan_applications.loan_amount]],0)</f>
        <v>0</v>
      </c>
    </row>
    <row r="487" spans="1:27" x14ac:dyDescent="0.35">
      <c r="A487" t="s">
        <v>961</v>
      </c>
      <c r="B487" t="s">
        <v>962</v>
      </c>
      <c r="C487" s="1">
        <v>45336</v>
      </c>
      <c r="D487">
        <v>62</v>
      </c>
      <c r="E487" t="s">
        <v>113</v>
      </c>
      <c r="F487" t="s">
        <v>47</v>
      </c>
      <c r="G487" t="s">
        <v>26</v>
      </c>
      <c r="H487">
        <v>2</v>
      </c>
      <c r="I487" s="5">
        <v>121047</v>
      </c>
      <c r="J487" t="str" cm="1">
        <f t="array" ref="J48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87">
        <v>604</v>
      </c>
      <c r="L487" t="s">
        <v>17</v>
      </c>
      <c r="M487">
        <v>0</v>
      </c>
      <c r="N487">
        <v>4119</v>
      </c>
      <c r="O487" t="str" cm="1">
        <f t="array" ref="O48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87" t="s">
        <v>71</v>
      </c>
      <c r="Q487" s="5">
        <v>20400</v>
      </c>
      <c r="R487">
        <v>12</v>
      </c>
      <c r="S487">
        <v>14.07</v>
      </c>
      <c r="T487">
        <v>1832.33</v>
      </c>
      <c r="U487">
        <v>59</v>
      </c>
      <c r="V487" t="str" cm="1">
        <f t="array" ref="V48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87" t="s">
        <v>24</v>
      </c>
      <c r="X487">
        <v>51</v>
      </c>
      <c r="Y487">
        <v>1</v>
      </c>
      <c r="Z48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87" s="5">
        <f>IF(Merge1[[#This Row],[loan_applications.defaulted]]=1,Merge1[[#This Row],[loan_applications.loan_amount]],0)</f>
        <v>20400</v>
      </c>
    </row>
    <row r="488" spans="1:27" x14ac:dyDescent="0.35">
      <c r="A488" t="s">
        <v>963</v>
      </c>
      <c r="B488" t="s">
        <v>962</v>
      </c>
      <c r="C488" s="1">
        <v>45301</v>
      </c>
      <c r="D488">
        <v>62</v>
      </c>
      <c r="E488" t="s">
        <v>113</v>
      </c>
      <c r="F488" t="s">
        <v>47</v>
      </c>
      <c r="G488" t="s">
        <v>26</v>
      </c>
      <c r="H488">
        <v>2</v>
      </c>
      <c r="I488" s="5">
        <v>121047</v>
      </c>
      <c r="J488" t="str" cm="1">
        <f t="array" ref="J48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88">
        <v>604</v>
      </c>
      <c r="L488" t="s">
        <v>17</v>
      </c>
      <c r="M488">
        <v>0</v>
      </c>
      <c r="N488">
        <v>4119</v>
      </c>
      <c r="O488" t="str" cm="1">
        <f t="array" ref="O48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88" t="s">
        <v>37</v>
      </c>
      <c r="Q488" s="5">
        <v>32100</v>
      </c>
      <c r="R488">
        <v>12</v>
      </c>
      <c r="S488">
        <v>13.9</v>
      </c>
      <c r="T488">
        <v>2880.66</v>
      </c>
      <c r="U488">
        <v>69.400000000000006</v>
      </c>
      <c r="V488" t="str" cm="1">
        <f t="array" ref="V48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88" t="s">
        <v>21</v>
      </c>
      <c r="X488">
        <v>0</v>
      </c>
      <c r="Y488">
        <v>0</v>
      </c>
      <c r="Z488" s="5">
        <f>IF(Merge1[[#This Row],[loan_applications.defaulted]]=0,Merge1[[#This Row],[loan_applications.loan_amount]]*(Merge1[[#This Row],[loan_applications.interest_rate]]/100)*(Merge1[[#This Row],[loan_applications.term_months]]/12),0)</f>
        <v>4461.9000000000005</v>
      </c>
      <c r="AA488" s="5">
        <f>IF(Merge1[[#This Row],[loan_applications.defaulted]]=1,Merge1[[#This Row],[loan_applications.loan_amount]],0)</f>
        <v>0</v>
      </c>
    </row>
    <row r="489" spans="1:27" x14ac:dyDescent="0.35">
      <c r="A489" t="s">
        <v>964</v>
      </c>
      <c r="B489" t="s">
        <v>965</v>
      </c>
      <c r="C489" s="1">
        <v>45459</v>
      </c>
      <c r="D489">
        <v>68</v>
      </c>
      <c r="E489" t="s">
        <v>46</v>
      </c>
      <c r="F489" t="s">
        <v>32</v>
      </c>
      <c r="G489" t="s">
        <v>26</v>
      </c>
      <c r="H489">
        <v>25</v>
      </c>
      <c r="I489" s="5">
        <v>53099</v>
      </c>
      <c r="J489" t="str" cm="1">
        <f t="array" ref="J48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89">
        <v>591</v>
      </c>
      <c r="L489" t="s">
        <v>27</v>
      </c>
      <c r="M489">
        <v>2</v>
      </c>
      <c r="N489">
        <v>1807</v>
      </c>
      <c r="O489" t="str" cm="1">
        <f t="array" ref="O48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89" t="s">
        <v>54</v>
      </c>
      <c r="Q489" s="5">
        <v>14900</v>
      </c>
      <c r="R489">
        <v>60</v>
      </c>
      <c r="S489">
        <v>14.61</v>
      </c>
      <c r="T489">
        <v>351.43</v>
      </c>
      <c r="U489">
        <v>48.8</v>
      </c>
      <c r="V489" t="str" cm="1">
        <f t="array" ref="V48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89" t="s">
        <v>24</v>
      </c>
      <c r="X489">
        <v>152</v>
      </c>
      <c r="Y489">
        <v>1</v>
      </c>
      <c r="Z48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89" s="5">
        <f>IF(Merge1[[#This Row],[loan_applications.defaulted]]=1,Merge1[[#This Row],[loan_applications.loan_amount]],0)</f>
        <v>14900</v>
      </c>
    </row>
    <row r="490" spans="1:27" x14ac:dyDescent="0.35">
      <c r="A490" t="s">
        <v>966</v>
      </c>
      <c r="B490" t="s">
        <v>967</v>
      </c>
      <c r="C490" s="1">
        <v>45337</v>
      </c>
      <c r="D490">
        <v>28</v>
      </c>
      <c r="E490" t="s">
        <v>95</v>
      </c>
      <c r="F490" t="s">
        <v>62</v>
      </c>
      <c r="G490" t="s">
        <v>26</v>
      </c>
      <c r="H490">
        <v>1</v>
      </c>
      <c r="I490" s="5">
        <v>108932</v>
      </c>
      <c r="J490" t="str" cm="1">
        <f t="array" ref="J49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490">
        <v>846</v>
      </c>
      <c r="L490" t="s">
        <v>17</v>
      </c>
      <c r="M490">
        <v>1</v>
      </c>
      <c r="N490">
        <v>3128</v>
      </c>
      <c r="O490" t="str" cm="1">
        <f t="array" ref="O49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90" t="s">
        <v>60</v>
      </c>
      <c r="Q490" s="5">
        <v>14800</v>
      </c>
      <c r="R490">
        <v>60</v>
      </c>
      <c r="S490">
        <v>6.52</v>
      </c>
      <c r="T490">
        <v>289.72000000000003</v>
      </c>
      <c r="U490">
        <v>37.6</v>
      </c>
      <c r="V490" t="str" cm="1">
        <f t="array" ref="V49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490" t="s">
        <v>24</v>
      </c>
      <c r="X490">
        <v>105</v>
      </c>
      <c r="Y490">
        <v>1</v>
      </c>
      <c r="Z49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90" s="5">
        <f>IF(Merge1[[#This Row],[loan_applications.defaulted]]=1,Merge1[[#This Row],[loan_applications.loan_amount]],0)</f>
        <v>14800</v>
      </c>
    </row>
    <row r="491" spans="1:27" x14ac:dyDescent="0.35">
      <c r="A491" t="s">
        <v>968</v>
      </c>
      <c r="B491" t="s">
        <v>969</v>
      </c>
      <c r="C491" s="1">
        <v>45686</v>
      </c>
      <c r="D491">
        <v>54</v>
      </c>
      <c r="E491" t="s">
        <v>113</v>
      </c>
      <c r="F491" t="s">
        <v>15</v>
      </c>
      <c r="G491" t="s">
        <v>26</v>
      </c>
      <c r="H491">
        <v>27</v>
      </c>
      <c r="I491" s="5">
        <v>41068</v>
      </c>
      <c r="J491" t="str" cm="1">
        <f t="array" ref="J49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91">
        <v>554</v>
      </c>
      <c r="L491" t="s">
        <v>17</v>
      </c>
      <c r="M491">
        <v>3</v>
      </c>
      <c r="N491">
        <v>1507</v>
      </c>
      <c r="O491" t="str" cm="1">
        <f t="array" ref="O49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91" t="s">
        <v>23</v>
      </c>
      <c r="Q491" s="5">
        <v>17800</v>
      </c>
      <c r="R491">
        <v>12</v>
      </c>
      <c r="S491">
        <v>11.9</v>
      </c>
      <c r="T491">
        <v>1580.68</v>
      </c>
      <c r="U491">
        <v>90.2</v>
      </c>
      <c r="V491" t="str" cm="1">
        <f t="array" ref="V49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91" t="s">
        <v>24</v>
      </c>
      <c r="X491">
        <v>103</v>
      </c>
      <c r="Y491">
        <v>1</v>
      </c>
      <c r="Z49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91" s="5">
        <f>IF(Merge1[[#This Row],[loan_applications.defaulted]]=1,Merge1[[#This Row],[loan_applications.loan_amount]],0)</f>
        <v>17800</v>
      </c>
    </row>
    <row r="492" spans="1:27" x14ac:dyDescent="0.35">
      <c r="A492" t="s">
        <v>970</v>
      </c>
      <c r="B492" t="s">
        <v>971</v>
      </c>
      <c r="C492" s="1">
        <v>45404</v>
      </c>
      <c r="D492">
        <v>33</v>
      </c>
      <c r="E492" t="s">
        <v>252</v>
      </c>
      <c r="F492" t="s">
        <v>32</v>
      </c>
      <c r="G492" t="s">
        <v>26</v>
      </c>
      <c r="H492">
        <v>6</v>
      </c>
      <c r="I492" s="5">
        <v>92612</v>
      </c>
      <c r="J492" t="str" cm="1">
        <f t="array" ref="J492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92">
        <v>593</v>
      </c>
      <c r="L492" t="s">
        <v>17</v>
      </c>
      <c r="M492">
        <v>3</v>
      </c>
      <c r="N492">
        <v>2331</v>
      </c>
      <c r="O492" t="str" cm="1">
        <f t="array" ref="O49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92" t="s">
        <v>23</v>
      </c>
      <c r="Q492" s="5">
        <v>36300</v>
      </c>
      <c r="R492">
        <v>12</v>
      </c>
      <c r="S492">
        <v>12.58</v>
      </c>
      <c r="T492">
        <v>3235.07</v>
      </c>
      <c r="U492">
        <v>72.099999999999994</v>
      </c>
      <c r="V492" t="str" cm="1">
        <f t="array" ref="V49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92" t="s">
        <v>24</v>
      </c>
      <c r="X492">
        <v>102</v>
      </c>
      <c r="Y492">
        <v>1</v>
      </c>
      <c r="Z49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92" s="5">
        <f>IF(Merge1[[#This Row],[loan_applications.defaulted]]=1,Merge1[[#This Row],[loan_applications.loan_amount]],0)</f>
        <v>36300</v>
      </c>
    </row>
    <row r="493" spans="1:27" x14ac:dyDescent="0.35">
      <c r="A493" t="s">
        <v>972</v>
      </c>
      <c r="B493" t="s">
        <v>973</v>
      </c>
      <c r="C493" s="1">
        <v>45446</v>
      </c>
      <c r="D493">
        <v>46</v>
      </c>
      <c r="E493" t="s">
        <v>118</v>
      </c>
      <c r="F493" t="s">
        <v>32</v>
      </c>
      <c r="G493" t="s">
        <v>63</v>
      </c>
      <c r="H493">
        <v>8</v>
      </c>
      <c r="I493" s="5">
        <v>46630</v>
      </c>
      <c r="J493" t="str" cm="1">
        <f t="array" ref="J49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493">
        <v>657</v>
      </c>
      <c r="L493" t="s">
        <v>34</v>
      </c>
      <c r="M493">
        <v>4</v>
      </c>
      <c r="N493">
        <v>1074</v>
      </c>
      <c r="O493" t="str" cm="1">
        <f t="array" ref="O49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93" t="s">
        <v>71</v>
      </c>
      <c r="Q493" s="5">
        <v>13100</v>
      </c>
      <c r="R493">
        <v>12</v>
      </c>
      <c r="S493">
        <v>13.53</v>
      </c>
      <c r="T493">
        <v>1173.32</v>
      </c>
      <c r="U493">
        <v>57.8</v>
      </c>
      <c r="V493" t="str" cm="1">
        <f t="array" ref="V49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93" t="s">
        <v>24</v>
      </c>
      <c r="X493">
        <v>165</v>
      </c>
      <c r="Y493">
        <v>1</v>
      </c>
      <c r="Z49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93" s="5">
        <f>IF(Merge1[[#This Row],[loan_applications.defaulted]]=1,Merge1[[#This Row],[loan_applications.loan_amount]],0)</f>
        <v>13100</v>
      </c>
    </row>
    <row r="494" spans="1:27" x14ac:dyDescent="0.35">
      <c r="A494" t="s">
        <v>974</v>
      </c>
      <c r="B494" t="s">
        <v>975</v>
      </c>
      <c r="C494" s="1">
        <v>45585</v>
      </c>
      <c r="D494">
        <v>30</v>
      </c>
      <c r="E494" t="s">
        <v>109</v>
      </c>
      <c r="F494" t="s">
        <v>15</v>
      </c>
      <c r="G494" t="s">
        <v>63</v>
      </c>
      <c r="H494">
        <v>4</v>
      </c>
      <c r="I494" s="5">
        <v>29481</v>
      </c>
      <c r="J494" t="str" cm="1">
        <f t="array" ref="J49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94">
        <v>787</v>
      </c>
      <c r="L494" t="s">
        <v>17</v>
      </c>
      <c r="M494">
        <v>3</v>
      </c>
      <c r="N494">
        <v>997</v>
      </c>
      <c r="O494" t="str" cm="1">
        <f t="array" ref="O49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494" t="s">
        <v>50</v>
      </c>
      <c r="Q494" s="5">
        <v>6600</v>
      </c>
      <c r="R494">
        <v>36</v>
      </c>
      <c r="S494">
        <v>10.01</v>
      </c>
      <c r="T494">
        <v>212.99</v>
      </c>
      <c r="U494">
        <v>49.3</v>
      </c>
      <c r="V494" t="str" cm="1">
        <f t="array" ref="V49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94" t="s">
        <v>21</v>
      </c>
      <c r="X494">
        <v>0</v>
      </c>
      <c r="Y494">
        <v>0</v>
      </c>
      <c r="Z494" s="5">
        <f>IF(Merge1[[#This Row],[loan_applications.defaulted]]=0,Merge1[[#This Row],[loan_applications.loan_amount]]*(Merge1[[#This Row],[loan_applications.interest_rate]]/100)*(Merge1[[#This Row],[loan_applications.term_months]]/12),0)</f>
        <v>1981.98</v>
      </c>
      <c r="AA494" s="5">
        <f>IF(Merge1[[#This Row],[loan_applications.defaulted]]=1,Merge1[[#This Row],[loan_applications.loan_amount]],0)</f>
        <v>0</v>
      </c>
    </row>
    <row r="495" spans="1:27" x14ac:dyDescent="0.35">
      <c r="A495" t="s">
        <v>976</v>
      </c>
      <c r="B495" t="s">
        <v>977</v>
      </c>
      <c r="C495" s="1">
        <v>45444</v>
      </c>
      <c r="D495">
        <v>57</v>
      </c>
      <c r="E495" t="s">
        <v>193</v>
      </c>
      <c r="F495" t="s">
        <v>32</v>
      </c>
      <c r="G495" t="s">
        <v>26</v>
      </c>
      <c r="H495">
        <v>22</v>
      </c>
      <c r="I495" s="5">
        <v>80421</v>
      </c>
      <c r="J495" t="str" cm="1">
        <f t="array" ref="J49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95">
        <v>688</v>
      </c>
      <c r="L495" t="s">
        <v>17</v>
      </c>
      <c r="M495">
        <v>4</v>
      </c>
      <c r="N495">
        <v>2513</v>
      </c>
      <c r="O495" t="str" cm="1">
        <f t="array" ref="O49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95" t="s">
        <v>37</v>
      </c>
      <c r="Q495" s="5">
        <v>36100</v>
      </c>
      <c r="R495">
        <v>12</v>
      </c>
      <c r="S495">
        <v>12.48</v>
      </c>
      <c r="T495">
        <v>3215.55</v>
      </c>
      <c r="U495">
        <v>85.5</v>
      </c>
      <c r="V495" t="str" cm="1">
        <f t="array" ref="V49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95" t="s">
        <v>41</v>
      </c>
      <c r="X495">
        <v>0</v>
      </c>
      <c r="Y495">
        <v>0</v>
      </c>
      <c r="Z495" s="5">
        <f>IF(Merge1[[#This Row],[loan_applications.defaulted]]=0,Merge1[[#This Row],[loan_applications.loan_amount]]*(Merge1[[#This Row],[loan_applications.interest_rate]]/100)*(Merge1[[#This Row],[loan_applications.term_months]]/12),0)</f>
        <v>4505.2800000000007</v>
      </c>
      <c r="AA495" s="5">
        <f>IF(Merge1[[#This Row],[loan_applications.defaulted]]=1,Merge1[[#This Row],[loan_applications.loan_amount]],0)</f>
        <v>0</v>
      </c>
    </row>
    <row r="496" spans="1:27" x14ac:dyDescent="0.35">
      <c r="A496" t="s">
        <v>978</v>
      </c>
      <c r="B496" t="s">
        <v>979</v>
      </c>
      <c r="C496" s="1">
        <v>45577</v>
      </c>
      <c r="D496">
        <v>33</v>
      </c>
      <c r="E496" t="s">
        <v>113</v>
      </c>
      <c r="F496" t="s">
        <v>32</v>
      </c>
      <c r="G496" t="s">
        <v>16</v>
      </c>
      <c r="H496">
        <v>12</v>
      </c>
      <c r="I496" s="5">
        <v>61167</v>
      </c>
      <c r="J496" t="str" cm="1">
        <f t="array" ref="J49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96">
        <v>594</v>
      </c>
      <c r="L496" t="s">
        <v>34</v>
      </c>
      <c r="M496">
        <v>2</v>
      </c>
      <c r="N496">
        <v>2657</v>
      </c>
      <c r="O496" t="str" cm="1">
        <f t="array" ref="O49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496" t="s">
        <v>20</v>
      </c>
      <c r="Q496" s="5">
        <v>7400</v>
      </c>
      <c r="R496">
        <v>48</v>
      </c>
      <c r="S496">
        <v>14.9</v>
      </c>
      <c r="T496">
        <v>205.57</v>
      </c>
      <c r="U496">
        <v>56.2</v>
      </c>
      <c r="V496" t="str" cm="1">
        <f t="array" ref="V49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496" t="s">
        <v>24</v>
      </c>
      <c r="X496">
        <v>112</v>
      </c>
      <c r="Y496">
        <v>1</v>
      </c>
      <c r="Z49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496" s="5">
        <f>IF(Merge1[[#This Row],[loan_applications.defaulted]]=1,Merge1[[#This Row],[loan_applications.loan_amount]],0)</f>
        <v>7400</v>
      </c>
    </row>
    <row r="497" spans="1:27" x14ac:dyDescent="0.35">
      <c r="A497" t="s">
        <v>980</v>
      </c>
      <c r="B497" t="s">
        <v>981</v>
      </c>
      <c r="C497" s="1">
        <v>45715</v>
      </c>
      <c r="D497">
        <v>67</v>
      </c>
      <c r="E497" t="s">
        <v>83</v>
      </c>
      <c r="F497" t="s">
        <v>32</v>
      </c>
      <c r="G497" t="s">
        <v>16</v>
      </c>
      <c r="H497">
        <v>27</v>
      </c>
      <c r="I497" s="5">
        <v>94280</v>
      </c>
      <c r="J497" t="str" cm="1">
        <f t="array" ref="J49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97">
        <v>686</v>
      </c>
      <c r="L497" t="s">
        <v>17</v>
      </c>
      <c r="M497">
        <v>0</v>
      </c>
      <c r="N497">
        <v>1889</v>
      </c>
      <c r="O497" t="str" cm="1">
        <f t="array" ref="O49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97" t="s">
        <v>50</v>
      </c>
      <c r="Q497" s="5">
        <v>18900</v>
      </c>
      <c r="R497">
        <v>48</v>
      </c>
      <c r="S497">
        <v>10.69</v>
      </c>
      <c r="T497">
        <v>485.64</v>
      </c>
      <c r="U497">
        <v>30.2</v>
      </c>
      <c r="V497" t="str" cm="1">
        <f t="array" ref="V49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97" t="s">
        <v>41</v>
      </c>
      <c r="X497">
        <v>0</v>
      </c>
      <c r="Y497">
        <v>0</v>
      </c>
      <c r="Z497" s="5">
        <f>IF(Merge1[[#This Row],[loan_applications.defaulted]]=0,Merge1[[#This Row],[loan_applications.loan_amount]]*(Merge1[[#This Row],[loan_applications.interest_rate]]/100)*(Merge1[[#This Row],[loan_applications.term_months]]/12),0)</f>
        <v>8081.6399999999994</v>
      </c>
      <c r="AA497" s="5">
        <f>IF(Merge1[[#This Row],[loan_applications.defaulted]]=1,Merge1[[#This Row],[loan_applications.loan_amount]],0)</f>
        <v>0</v>
      </c>
    </row>
    <row r="498" spans="1:27" x14ac:dyDescent="0.35">
      <c r="A498" t="s">
        <v>982</v>
      </c>
      <c r="B498" t="s">
        <v>981</v>
      </c>
      <c r="C498" s="1">
        <v>45837</v>
      </c>
      <c r="D498">
        <v>67</v>
      </c>
      <c r="E498" t="s">
        <v>83</v>
      </c>
      <c r="F498" t="s">
        <v>32</v>
      </c>
      <c r="G498" t="s">
        <v>16</v>
      </c>
      <c r="H498">
        <v>27</v>
      </c>
      <c r="I498" s="5">
        <v>94280</v>
      </c>
      <c r="J498" t="str" cm="1">
        <f t="array" ref="J49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498">
        <v>686</v>
      </c>
      <c r="L498" t="s">
        <v>17</v>
      </c>
      <c r="M498">
        <v>0</v>
      </c>
      <c r="N498">
        <v>1889</v>
      </c>
      <c r="O498" t="str" cm="1">
        <f t="array" ref="O49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498" t="s">
        <v>56</v>
      </c>
      <c r="Q498" s="5">
        <v>28400</v>
      </c>
      <c r="R498">
        <v>60</v>
      </c>
      <c r="S498">
        <v>11.24</v>
      </c>
      <c r="T498">
        <v>620.89</v>
      </c>
      <c r="U498">
        <v>31.9</v>
      </c>
      <c r="V498" t="str" cm="1">
        <f t="array" ref="V49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498" t="s">
        <v>41</v>
      </c>
      <c r="X498">
        <v>0</v>
      </c>
      <c r="Y498">
        <v>0</v>
      </c>
      <c r="Z498" s="5">
        <f>IF(Merge1[[#This Row],[loan_applications.defaulted]]=0,Merge1[[#This Row],[loan_applications.loan_amount]]*(Merge1[[#This Row],[loan_applications.interest_rate]]/100)*(Merge1[[#This Row],[loan_applications.term_months]]/12),0)</f>
        <v>15960.8</v>
      </c>
      <c r="AA498" s="5">
        <f>IF(Merge1[[#This Row],[loan_applications.defaulted]]=1,Merge1[[#This Row],[loan_applications.loan_amount]],0)</f>
        <v>0</v>
      </c>
    </row>
    <row r="499" spans="1:27" x14ac:dyDescent="0.35">
      <c r="A499" t="s">
        <v>983</v>
      </c>
      <c r="B499" t="s">
        <v>984</v>
      </c>
      <c r="C499" s="1">
        <v>45532</v>
      </c>
      <c r="D499">
        <v>25</v>
      </c>
      <c r="E499" t="s">
        <v>193</v>
      </c>
      <c r="F499" t="s">
        <v>32</v>
      </c>
      <c r="G499" t="s">
        <v>26</v>
      </c>
      <c r="H499">
        <v>2</v>
      </c>
      <c r="I499" s="5">
        <v>88461</v>
      </c>
      <c r="J499" t="str" cm="1">
        <f t="array" ref="J49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499">
        <v>622</v>
      </c>
      <c r="L499" t="s">
        <v>17</v>
      </c>
      <c r="M499">
        <v>3</v>
      </c>
      <c r="N499">
        <v>2914</v>
      </c>
      <c r="O499" t="str" cm="1">
        <f t="array" ref="O49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499" t="s">
        <v>30</v>
      </c>
      <c r="Q499" s="5">
        <v>35300</v>
      </c>
      <c r="R499">
        <v>24</v>
      </c>
      <c r="S499">
        <v>13.15</v>
      </c>
      <c r="T499">
        <v>1680.71</v>
      </c>
      <c r="U499">
        <v>62.3</v>
      </c>
      <c r="V499" t="str" cm="1">
        <f t="array" ref="V49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499" t="s">
        <v>21</v>
      </c>
      <c r="X499">
        <v>0</v>
      </c>
      <c r="Y499">
        <v>0</v>
      </c>
      <c r="Z499" s="5">
        <f>IF(Merge1[[#This Row],[loan_applications.defaulted]]=0,Merge1[[#This Row],[loan_applications.loan_amount]]*(Merge1[[#This Row],[loan_applications.interest_rate]]/100)*(Merge1[[#This Row],[loan_applications.term_months]]/12),0)</f>
        <v>9283.9</v>
      </c>
      <c r="AA499" s="5">
        <f>IF(Merge1[[#This Row],[loan_applications.defaulted]]=1,Merge1[[#This Row],[loan_applications.loan_amount]],0)</f>
        <v>0</v>
      </c>
    </row>
    <row r="500" spans="1:27" x14ac:dyDescent="0.35">
      <c r="A500" t="s">
        <v>985</v>
      </c>
      <c r="B500" t="s">
        <v>986</v>
      </c>
      <c r="C500" s="1">
        <v>45661</v>
      </c>
      <c r="D500">
        <v>40</v>
      </c>
      <c r="E500" t="s">
        <v>125</v>
      </c>
      <c r="F500" t="s">
        <v>68</v>
      </c>
      <c r="G500" t="s">
        <v>26</v>
      </c>
      <c r="H500">
        <v>3</v>
      </c>
      <c r="I500" s="5">
        <v>45971</v>
      </c>
      <c r="J500" t="str" cm="1">
        <f t="array" ref="J50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00">
        <v>761</v>
      </c>
      <c r="L500" t="s">
        <v>34</v>
      </c>
      <c r="M500">
        <v>2</v>
      </c>
      <c r="N500">
        <v>1848</v>
      </c>
      <c r="O500" t="str" cm="1">
        <f t="array" ref="O50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00" t="s">
        <v>20</v>
      </c>
      <c r="Q500" s="5">
        <v>46200</v>
      </c>
      <c r="R500">
        <v>12</v>
      </c>
      <c r="S500">
        <v>11.87</v>
      </c>
      <c r="T500">
        <v>4102</v>
      </c>
      <c r="U500">
        <v>155.30000000000001</v>
      </c>
      <c r="V500" t="str" cm="1">
        <f t="array" ref="V50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00" t="s">
        <v>91</v>
      </c>
      <c r="X500">
        <v>15</v>
      </c>
      <c r="Y500">
        <v>0</v>
      </c>
      <c r="Z500" s="5">
        <f>IF(Merge1[[#This Row],[loan_applications.defaulted]]=0,Merge1[[#This Row],[loan_applications.loan_amount]]*(Merge1[[#This Row],[loan_applications.interest_rate]]/100)*(Merge1[[#This Row],[loan_applications.term_months]]/12),0)</f>
        <v>5483.94</v>
      </c>
      <c r="AA500" s="5">
        <f>IF(Merge1[[#This Row],[loan_applications.defaulted]]=1,Merge1[[#This Row],[loan_applications.loan_amount]],0)</f>
        <v>0</v>
      </c>
    </row>
    <row r="501" spans="1:27" x14ac:dyDescent="0.35">
      <c r="A501" t="s">
        <v>987</v>
      </c>
      <c r="B501" t="s">
        <v>988</v>
      </c>
      <c r="C501" s="1">
        <v>45521</v>
      </c>
      <c r="D501">
        <v>63</v>
      </c>
      <c r="E501" t="s">
        <v>67</v>
      </c>
      <c r="F501" t="s">
        <v>32</v>
      </c>
      <c r="G501" t="s">
        <v>26</v>
      </c>
      <c r="H501">
        <v>3</v>
      </c>
      <c r="I501" s="5">
        <v>90638</v>
      </c>
      <c r="J501" t="str" cm="1">
        <f t="array" ref="J50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01">
        <v>687</v>
      </c>
      <c r="L501" t="s">
        <v>17</v>
      </c>
      <c r="M501">
        <v>1</v>
      </c>
      <c r="N501">
        <v>3354</v>
      </c>
      <c r="O501" t="str" cm="1">
        <f t="array" ref="O50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01" t="s">
        <v>50</v>
      </c>
      <c r="Q501" s="5">
        <v>28500</v>
      </c>
      <c r="R501">
        <v>48</v>
      </c>
      <c r="S501">
        <v>9.76</v>
      </c>
      <c r="T501">
        <v>719.55</v>
      </c>
      <c r="U501">
        <v>53.9</v>
      </c>
      <c r="V501" t="str" cm="1">
        <f t="array" ref="V50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01" t="s">
        <v>24</v>
      </c>
      <c r="X501">
        <v>65</v>
      </c>
      <c r="Y501">
        <v>1</v>
      </c>
      <c r="Z50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01" s="5">
        <f>IF(Merge1[[#This Row],[loan_applications.defaulted]]=1,Merge1[[#This Row],[loan_applications.loan_amount]],0)</f>
        <v>28500</v>
      </c>
    </row>
    <row r="502" spans="1:27" x14ac:dyDescent="0.35">
      <c r="A502" t="s">
        <v>989</v>
      </c>
      <c r="B502" t="s">
        <v>990</v>
      </c>
      <c r="C502" s="1">
        <v>45400</v>
      </c>
      <c r="D502">
        <v>65</v>
      </c>
      <c r="E502" t="s">
        <v>169</v>
      </c>
      <c r="F502" t="s">
        <v>68</v>
      </c>
      <c r="G502" t="s">
        <v>63</v>
      </c>
      <c r="H502">
        <v>12</v>
      </c>
      <c r="I502" s="5">
        <v>16498</v>
      </c>
      <c r="J502" t="str" cm="1">
        <f t="array" ref="J50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02">
        <v>648</v>
      </c>
      <c r="L502" t="s">
        <v>34</v>
      </c>
      <c r="M502">
        <v>3</v>
      </c>
      <c r="N502">
        <v>373</v>
      </c>
      <c r="O502" t="str" cm="1">
        <f t="array" ref="O50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02" t="s">
        <v>50</v>
      </c>
      <c r="Q502" s="5">
        <v>2300</v>
      </c>
      <c r="R502">
        <v>48</v>
      </c>
      <c r="S502">
        <v>11.06</v>
      </c>
      <c r="T502">
        <v>59.51</v>
      </c>
      <c r="U502">
        <v>31.5</v>
      </c>
      <c r="V502" t="str" cm="1">
        <f t="array" ref="V50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02" t="s">
        <v>21</v>
      </c>
      <c r="X502">
        <v>0</v>
      </c>
      <c r="Y502">
        <v>0</v>
      </c>
      <c r="Z502" s="5">
        <f>IF(Merge1[[#This Row],[loan_applications.defaulted]]=0,Merge1[[#This Row],[loan_applications.loan_amount]]*(Merge1[[#This Row],[loan_applications.interest_rate]]/100)*(Merge1[[#This Row],[loan_applications.term_months]]/12),0)</f>
        <v>1017.52</v>
      </c>
      <c r="AA502" s="5">
        <f>IF(Merge1[[#This Row],[loan_applications.defaulted]]=1,Merge1[[#This Row],[loan_applications.loan_amount]],0)</f>
        <v>0</v>
      </c>
    </row>
    <row r="503" spans="1:27" x14ac:dyDescent="0.35">
      <c r="A503" t="s">
        <v>991</v>
      </c>
      <c r="B503" t="s">
        <v>992</v>
      </c>
      <c r="C503" s="1">
        <v>45718</v>
      </c>
      <c r="D503">
        <v>36</v>
      </c>
      <c r="E503" t="s">
        <v>105</v>
      </c>
      <c r="F503" t="s">
        <v>62</v>
      </c>
      <c r="G503" t="s">
        <v>16</v>
      </c>
      <c r="H503">
        <v>6</v>
      </c>
      <c r="I503" s="5">
        <v>110166</v>
      </c>
      <c r="J503" t="str" cm="1">
        <f t="array" ref="J50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03">
        <v>846</v>
      </c>
      <c r="L503" t="s">
        <v>17</v>
      </c>
      <c r="M503">
        <v>0</v>
      </c>
      <c r="N503">
        <v>1273</v>
      </c>
      <c r="O503" t="str" cm="1">
        <f t="array" ref="O50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03" t="s">
        <v>60</v>
      </c>
      <c r="Q503" s="5">
        <v>8800</v>
      </c>
      <c r="R503">
        <v>24</v>
      </c>
      <c r="S503">
        <v>6.29</v>
      </c>
      <c r="T503">
        <v>391.17</v>
      </c>
      <c r="U503">
        <v>18.100000000000001</v>
      </c>
      <c r="V503" t="str" cm="1">
        <f t="array" ref="V50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03" t="s">
        <v>21</v>
      </c>
      <c r="X503">
        <v>0</v>
      </c>
      <c r="Y503">
        <v>0</v>
      </c>
      <c r="Z503" s="5">
        <f>IF(Merge1[[#This Row],[loan_applications.defaulted]]=0,Merge1[[#This Row],[loan_applications.loan_amount]]*(Merge1[[#This Row],[loan_applications.interest_rate]]/100)*(Merge1[[#This Row],[loan_applications.term_months]]/12),0)</f>
        <v>1107.04</v>
      </c>
      <c r="AA503" s="5">
        <f>IF(Merge1[[#This Row],[loan_applications.defaulted]]=1,Merge1[[#This Row],[loan_applications.loan_amount]],0)</f>
        <v>0</v>
      </c>
    </row>
    <row r="504" spans="1:27" x14ac:dyDescent="0.35">
      <c r="A504" t="s">
        <v>993</v>
      </c>
      <c r="B504" t="s">
        <v>992</v>
      </c>
      <c r="C504" s="1">
        <v>45746</v>
      </c>
      <c r="D504">
        <v>36</v>
      </c>
      <c r="E504" t="s">
        <v>105</v>
      </c>
      <c r="F504" t="s">
        <v>62</v>
      </c>
      <c r="G504" t="s">
        <v>16</v>
      </c>
      <c r="H504">
        <v>6</v>
      </c>
      <c r="I504" s="5">
        <v>110166</v>
      </c>
      <c r="J504" t="str" cm="1">
        <f t="array" ref="J504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04">
        <v>846</v>
      </c>
      <c r="L504" t="s">
        <v>17</v>
      </c>
      <c r="M504">
        <v>0</v>
      </c>
      <c r="N504">
        <v>1273</v>
      </c>
      <c r="O504" t="str" cm="1">
        <f t="array" ref="O50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04" t="s">
        <v>30</v>
      </c>
      <c r="Q504" s="5">
        <v>16400</v>
      </c>
      <c r="R504">
        <v>48</v>
      </c>
      <c r="S504">
        <v>9.51</v>
      </c>
      <c r="T504">
        <v>412.1</v>
      </c>
      <c r="U504">
        <v>18.399999999999999</v>
      </c>
      <c r="V504" t="str" cm="1">
        <f t="array" ref="V50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04" t="s">
        <v>41</v>
      </c>
      <c r="X504">
        <v>0</v>
      </c>
      <c r="Y504">
        <v>0</v>
      </c>
      <c r="Z504" s="5">
        <f>IF(Merge1[[#This Row],[loan_applications.defaulted]]=0,Merge1[[#This Row],[loan_applications.loan_amount]]*(Merge1[[#This Row],[loan_applications.interest_rate]]/100)*(Merge1[[#This Row],[loan_applications.term_months]]/12),0)</f>
        <v>6238.56</v>
      </c>
      <c r="AA504" s="5">
        <f>IF(Merge1[[#This Row],[loan_applications.defaulted]]=1,Merge1[[#This Row],[loan_applications.loan_amount]],0)</f>
        <v>0</v>
      </c>
    </row>
    <row r="505" spans="1:27" x14ac:dyDescent="0.35">
      <c r="A505" t="s">
        <v>994</v>
      </c>
      <c r="B505" t="s">
        <v>995</v>
      </c>
      <c r="C505" s="1">
        <v>45725</v>
      </c>
      <c r="D505">
        <v>65</v>
      </c>
      <c r="E505" t="s">
        <v>31</v>
      </c>
      <c r="F505" t="s">
        <v>15</v>
      </c>
      <c r="G505" t="s">
        <v>75</v>
      </c>
      <c r="H505">
        <v>24</v>
      </c>
      <c r="I505" s="5">
        <v>28964</v>
      </c>
      <c r="J505" t="str" cm="1">
        <f t="array" ref="J50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05">
        <v>586</v>
      </c>
      <c r="L505" t="s">
        <v>27</v>
      </c>
      <c r="M505">
        <v>2</v>
      </c>
      <c r="N505">
        <v>277</v>
      </c>
      <c r="O505" t="str" cm="1">
        <f t="array" ref="O50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05" t="s">
        <v>60</v>
      </c>
      <c r="Q505" s="5">
        <v>6800</v>
      </c>
      <c r="R505">
        <v>24</v>
      </c>
      <c r="S505">
        <v>10.29</v>
      </c>
      <c r="T505">
        <v>314.7</v>
      </c>
      <c r="U505">
        <v>24.5</v>
      </c>
      <c r="V505" t="str" cm="1">
        <f t="array" ref="V50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05" t="s">
        <v>91</v>
      </c>
      <c r="X505">
        <v>15</v>
      </c>
      <c r="Y505">
        <v>0</v>
      </c>
      <c r="Z505" s="5">
        <f>IF(Merge1[[#This Row],[loan_applications.defaulted]]=0,Merge1[[#This Row],[loan_applications.loan_amount]]*(Merge1[[#This Row],[loan_applications.interest_rate]]/100)*(Merge1[[#This Row],[loan_applications.term_months]]/12),0)</f>
        <v>1399.4399999999998</v>
      </c>
      <c r="AA505" s="5">
        <f>IF(Merge1[[#This Row],[loan_applications.defaulted]]=1,Merge1[[#This Row],[loan_applications.loan_amount]],0)</f>
        <v>0</v>
      </c>
    </row>
    <row r="506" spans="1:27" x14ac:dyDescent="0.35">
      <c r="A506" t="s">
        <v>996</v>
      </c>
      <c r="B506" t="s">
        <v>997</v>
      </c>
      <c r="C506" s="1">
        <v>45570</v>
      </c>
      <c r="D506">
        <v>59</v>
      </c>
      <c r="E506" t="s">
        <v>118</v>
      </c>
      <c r="F506" t="s">
        <v>62</v>
      </c>
      <c r="G506" t="s">
        <v>26</v>
      </c>
      <c r="H506">
        <v>2</v>
      </c>
      <c r="I506" s="5">
        <v>94611</v>
      </c>
      <c r="J506" t="str" cm="1">
        <f t="array" ref="J50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06">
        <v>619</v>
      </c>
      <c r="L506" t="s">
        <v>27</v>
      </c>
      <c r="M506">
        <v>2</v>
      </c>
      <c r="N506">
        <v>3444</v>
      </c>
      <c r="O506" t="str" cm="1">
        <f t="array" ref="O50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06" t="s">
        <v>71</v>
      </c>
      <c r="Q506" s="5">
        <v>36000</v>
      </c>
      <c r="R506">
        <v>48</v>
      </c>
      <c r="S506">
        <v>14.34</v>
      </c>
      <c r="T506">
        <v>989.9</v>
      </c>
      <c r="U506">
        <v>56.2</v>
      </c>
      <c r="V506" t="str" cm="1">
        <f t="array" ref="V50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06" t="s">
        <v>21</v>
      </c>
      <c r="X506">
        <v>0</v>
      </c>
      <c r="Y506">
        <v>0</v>
      </c>
      <c r="Z506" s="5">
        <f>IF(Merge1[[#This Row],[loan_applications.defaulted]]=0,Merge1[[#This Row],[loan_applications.loan_amount]]*(Merge1[[#This Row],[loan_applications.interest_rate]]/100)*(Merge1[[#This Row],[loan_applications.term_months]]/12),0)</f>
        <v>20649.599999999999</v>
      </c>
      <c r="AA506" s="5">
        <f>IF(Merge1[[#This Row],[loan_applications.defaulted]]=1,Merge1[[#This Row],[loan_applications.loan_amount]],0)</f>
        <v>0</v>
      </c>
    </row>
    <row r="507" spans="1:27" x14ac:dyDescent="0.35">
      <c r="A507" t="s">
        <v>998</v>
      </c>
      <c r="B507" t="s">
        <v>997</v>
      </c>
      <c r="C507" s="1">
        <v>45480</v>
      </c>
      <c r="D507">
        <v>59</v>
      </c>
      <c r="E507" t="s">
        <v>118</v>
      </c>
      <c r="F507" t="s">
        <v>62</v>
      </c>
      <c r="G507" t="s">
        <v>26</v>
      </c>
      <c r="H507">
        <v>2</v>
      </c>
      <c r="I507" s="5">
        <v>94611</v>
      </c>
      <c r="J507" t="str" cm="1">
        <f t="array" ref="J50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07">
        <v>619</v>
      </c>
      <c r="L507" t="s">
        <v>27</v>
      </c>
      <c r="M507">
        <v>2</v>
      </c>
      <c r="N507">
        <v>3444</v>
      </c>
      <c r="O507" t="str" cm="1">
        <f t="array" ref="O50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07" t="s">
        <v>50</v>
      </c>
      <c r="Q507" s="5">
        <v>21200</v>
      </c>
      <c r="R507">
        <v>12</v>
      </c>
      <c r="S507">
        <v>10.78</v>
      </c>
      <c r="T507">
        <v>1871.52</v>
      </c>
      <c r="U507">
        <v>67.400000000000006</v>
      </c>
      <c r="V507" t="str" cm="1">
        <f t="array" ref="V50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07" t="s">
        <v>91</v>
      </c>
      <c r="X507">
        <v>30</v>
      </c>
      <c r="Y507">
        <v>0</v>
      </c>
      <c r="Z507" s="5">
        <f>IF(Merge1[[#This Row],[loan_applications.defaulted]]=0,Merge1[[#This Row],[loan_applications.loan_amount]]*(Merge1[[#This Row],[loan_applications.interest_rate]]/100)*(Merge1[[#This Row],[loan_applications.term_months]]/12),0)</f>
        <v>2285.3599999999997</v>
      </c>
      <c r="AA507" s="5">
        <f>IF(Merge1[[#This Row],[loan_applications.defaulted]]=1,Merge1[[#This Row],[loan_applications.loan_amount]],0)</f>
        <v>0</v>
      </c>
    </row>
    <row r="508" spans="1:27" x14ac:dyDescent="0.35">
      <c r="A508" t="s">
        <v>999</v>
      </c>
      <c r="B508" t="s">
        <v>1000</v>
      </c>
      <c r="C508" s="1">
        <v>45460</v>
      </c>
      <c r="D508">
        <v>62</v>
      </c>
      <c r="E508" t="s">
        <v>57</v>
      </c>
      <c r="F508" t="s">
        <v>32</v>
      </c>
      <c r="G508" t="s">
        <v>16</v>
      </c>
      <c r="H508">
        <v>35</v>
      </c>
      <c r="I508" s="5">
        <v>71897</v>
      </c>
      <c r="J508" t="str" cm="1">
        <f t="array" ref="J50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08">
        <v>828</v>
      </c>
      <c r="L508" t="s">
        <v>34</v>
      </c>
      <c r="M508">
        <v>2</v>
      </c>
      <c r="N508">
        <v>1873</v>
      </c>
      <c r="O508" t="str" cm="1">
        <f t="array" ref="O50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08" t="s">
        <v>20</v>
      </c>
      <c r="Q508" s="5">
        <v>33300</v>
      </c>
      <c r="R508">
        <v>48</v>
      </c>
      <c r="S508">
        <v>10.34</v>
      </c>
      <c r="T508">
        <v>850.02</v>
      </c>
      <c r="U508">
        <v>45.4</v>
      </c>
      <c r="V508" t="str" cm="1">
        <f t="array" ref="V50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08" t="s">
        <v>24</v>
      </c>
      <c r="X508">
        <v>125</v>
      </c>
      <c r="Y508">
        <v>1</v>
      </c>
      <c r="Z50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08" s="5">
        <f>IF(Merge1[[#This Row],[loan_applications.defaulted]]=1,Merge1[[#This Row],[loan_applications.loan_amount]],0)</f>
        <v>33300</v>
      </c>
    </row>
    <row r="509" spans="1:27" x14ac:dyDescent="0.35">
      <c r="A509" t="s">
        <v>1001</v>
      </c>
      <c r="B509" t="s">
        <v>1002</v>
      </c>
      <c r="C509" s="1">
        <v>45635</v>
      </c>
      <c r="D509">
        <v>33</v>
      </c>
      <c r="E509" t="s">
        <v>139</v>
      </c>
      <c r="F509" t="s">
        <v>32</v>
      </c>
      <c r="G509" t="s">
        <v>16</v>
      </c>
      <c r="H509">
        <v>8</v>
      </c>
      <c r="I509" s="5">
        <v>50767</v>
      </c>
      <c r="J509" t="str" cm="1">
        <f t="array" ref="J50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09">
        <v>808</v>
      </c>
      <c r="L509" t="s">
        <v>34</v>
      </c>
      <c r="M509">
        <v>0</v>
      </c>
      <c r="N509">
        <v>662</v>
      </c>
      <c r="O509" t="str" cm="1">
        <f t="array" ref="O50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09" t="s">
        <v>56</v>
      </c>
      <c r="Q509" s="5">
        <v>5100</v>
      </c>
      <c r="R509">
        <v>36</v>
      </c>
      <c r="S509">
        <v>9.5500000000000007</v>
      </c>
      <c r="T509">
        <v>163.49</v>
      </c>
      <c r="U509">
        <v>19.5</v>
      </c>
      <c r="V509" t="str" cm="1">
        <f t="array" ref="V50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09" t="s">
        <v>24</v>
      </c>
      <c r="X509">
        <v>102</v>
      </c>
      <c r="Y509">
        <v>1</v>
      </c>
      <c r="Z50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09" s="5">
        <f>IF(Merge1[[#This Row],[loan_applications.defaulted]]=1,Merge1[[#This Row],[loan_applications.loan_amount]],0)</f>
        <v>5100</v>
      </c>
    </row>
    <row r="510" spans="1:27" x14ac:dyDescent="0.35">
      <c r="A510" t="s">
        <v>1003</v>
      </c>
      <c r="B510" t="s">
        <v>1004</v>
      </c>
      <c r="C510" s="1">
        <v>45498</v>
      </c>
      <c r="D510">
        <v>43</v>
      </c>
      <c r="E510" t="s">
        <v>109</v>
      </c>
      <c r="F510" t="s">
        <v>68</v>
      </c>
      <c r="G510" t="s">
        <v>26</v>
      </c>
      <c r="H510">
        <v>16</v>
      </c>
      <c r="I510" s="5">
        <v>73304</v>
      </c>
      <c r="J510" t="str" cm="1">
        <f t="array" ref="J51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10">
        <v>850</v>
      </c>
      <c r="L510" t="s">
        <v>34</v>
      </c>
      <c r="M510">
        <v>3</v>
      </c>
      <c r="N510">
        <v>3302</v>
      </c>
      <c r="O510" t="str" cm="1">
        <f t="array" ref="O51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10" t="s">
        <v>54</v>
      </c>
      <c r="Q510" s="5">
        <v>17400</v>
      </c>
      <c r="R510">
        <v>36</v>
      </c>
      <c r="S510">
        <v>6.77</v>
      </c>
      <c r="T510">
        <v>535.42999999999995</v>
      </c>
      <c r="U510">
        <v>62.8</v>
      </c>
      <c r="V510" t="str" cm="1">
        <f t="array" ref="V51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10" t="s">
        <v>41</v>
      </c>
      <c r="X510">
        <v>0</v>
      </c>
      <c r="Y510">
        <v>0</v>
      </c>
      <c r="Z510" s="5">
        <f>IF(Merge1[[#This Row],[loan_applications.defaulted]]=0,Merge1[[#This Row],[loan_applications.loan_amount]]*(Merge1[[#This Row],[loan_applications.interest_rate]]/100)*(Merge1[[#This Row],[loan_applications.term_months]]/12),0)</f>
        <v>3533.94</v>
      </c>
      <c r="AA510" s="5">
        <f>IF(Merge1[[#This Row],[loan_applications.defaulted]]=1,Merge1[[#This Row],[loan_applications.loan_amount]],0)</f>
        <v>0</v>
      </c>
    </row>
    <row r="511" spans="1:27" x14ac:dyDescent="0.35">
      <c r="A511" t="s">
        <v>1005</v>
      </c>
      <c r="B511" t="s">
        <v>1006</v>
      </c>
      <c r="C511" s="1">
        <v>45614</v>
      </c>
      <c r="D511">
        <v>22</v>
      </c>
      <c r="E511" t="s">
        <v>51</v>
      </c>
      <c r="F511" t="s">
        <v>15</v>
      </c>
      <c r="G511" t="s">
        <v>26</v>
      </c>
      <c r="H511">
        <v>2</v>
      </c>
      <c r="I511" s="5">
        <v>30860</v>
      </c>
      <c r="J511" t="str" cm="1">
        <f t="array" ref="J51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11">
        <v>850</v>
      </c>
      <c r="L511" t="s">
        <v>17</v>
      </c>
      <c r="M511">
        <v>4</v>
      </c>
      <c r="N511">
        <v>1006</v>
      </c>
      <c r="O511" t="str" cm="1">
        <f t="array" ref="O51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11" t="s">
        <v>71</v>
      </c>
      <c r="Q511" s="5">
        <v>10800</v>
      </c>
      <c r="R511">
        <v>48</v>
      </c>
      <c r="S511">
        <v>6.06</v>
      </c>
      <c r="T511">
        <v>253.94</v>
      </c>
      <c r="U511">
        <v>49</v>
      </c>
      <c r="V511" t="str" cm="1">
        <f t="array" ref="V51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11" t="s">
        <v>24</v>
      </c>
      <c r="X511">
        <v>109</v>
      </c>
      <c r="Y511">
        <v>1</v>
      </c>
      <c r="Z51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11" s="5">
        <f>IF(Merge1[[#This Row],[loan_applications.defaulted]]=1,Merge1[[#This Row],[loan_applications.loan_amount]],0)</f>
        <v>10800</v>
      </c>
    </row>
    <row r="512" spans="1:27" x14ac:dyDescent="0.35">
      <c r="A512" t="s">
        <v>1007</v>
      </c>
      <c r="B512" t="s">
        <v>1006</v>
      </c>
      <c r="C512" s="1">
        <v>45614</v>
      </c>
      <c r="D512">
        <v>22</v>
      </c>
      <c r="E512" t="s">
        <v>51</v>
      </c>
      <c r="F512" t="s">
        <v>15</v>
      </c>
      <c r="G512" t="s">
        <v>26</v>
      </c>
      <c r="H512">
        <v>2</v>
      </c>
      <c r="I512" s="5">
        <v>30860</v>
      </c>
      <c r="J512" t="str" cm="1">
        <f t="array" ref="J51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12">
        <v>850</v>
      </c>
      <c r="L512" t="s">
        <v>17</v>
      </c>
      <c r="M512">
        <v>4</v>
      </c>
      <c r="N512">
        <v>1006</v>
      </c>
      <c r="O512" t="str" cm="1">
        <f t="array" ref="O51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12" t="s">
        <v>60</v>
      </c>
      <c r="Q512" s="5">
        <v>34800</v>
      </c>
      <c r="R512">
        <v>48</v>
      </c>
      <c r="S512">
        <v>8.33</v>
      </c>
      <c r="T512">
        <v>854.97</v>
      </c>
      <c r="U512">
        <v>72.400000000000006</v>
      </c>
      <c r="V512" t="str" cm="1">
        <f t="array" ref="V51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12" t="s">
        <v>21</v>
      </c>
      <c r="X512">
        <v>0</v>
      </c>
      <c r="Y512">
        <v>0</v>
      </c>
      <c r="Z512" s="5">
        <f>IF(Merge1[[#This Row],[loan_applications.defaulted]]=0,Merge1[[#This Row],[loan_applications.loan_amount]]*(Merge1[[#This Row],[loan_applications.interest_rate]]/100)*(Merge1[[#This Row],[loan_applications.term_months]]/12),0)</f>
        <v>11595.36</v>
      </c>
      <c r="AA512" s="5">
        <f>IF(Merge1[[#This Row],[loan_applications.defaulted]]=1,Merge1[[#This Row],[loan_applications.loan_amount]],0)</f>
        <v>0</v>
      </c>
    </row>
    <row r="513" spans="1:27" x14ac:dyDescent="0.35">
      <c r="A513" t="s">
        <v>1008</v>
      </c>
      <c r="B513" t="s">
        <v>1009</v>
      </c>
      <c r="C513" s="1">
        <v>45445</v>
      </c>
      <c r="D513">
        <v>42</v>
      </c>
      <c r="E513" t="s">
        <v>86</v>
      </c>
      <c r="F513" t="s">
        <v>32</v>
      </c>
      <c r="G513" t="s">
        <v>16</v>
      </c>
      <c r="H513">
        <v>17</v>
      </c>
      <c r="I513" s="5">
        <v>47833</v>
      </c>
      <c r="J513" t="str" cm="1">
        <f t="array" ref="J51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13">
        <v>661</v>
      </c>
      <c r="L513" t="s">
        <v>17</v>
      </c>
      <c r="M513">
        <v>3</v>
      </c>
      <c r="N513">
        <v>1837</v>
      </c>
      <c r="O513" t="str" cm="1">
        <f t="array" ref="O51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13" t="s">
        <v>54</v>
      </c>
      <c r="Q513" s="5">
        <v>30100</v>
      </c>
      <c r="R513">
        <v>60</v>
      </c>
      <c r="S513">
        <v>9.49</v>
      </c>
      <c r="T513">
        <v>632.01</v>
      </c>
      <c r="U513">
        <v>61.9</v>
      </c>
      <c r="V513" t="str" cm="1">
        <f t="array" ref="V51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13" t="s">
        <v>24</v>
      </c>
      <c r="X513">
        <v>127</v>
      </c>
      <c r="Y513">
        <v>1</v>
      </c>
      <c r="Z513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13" s="5">
        <f>IF(Merge1[[#This Row],[loan_applications.defaulted]]=1,Merge1[[#This Row],[loan_applications.loan_amount]],0)</f>
        <v>30100</v>
      </c>
    </row>
    <row r="514" spans="1:27" x14ac:dyDescent="0.35">
      <c r="A514" t="s">
        <v>1010</v>
      </c>
      <c r="B514" t="s">
        <v>1011</v>
      </c>
      <c r="C514" s="1">
        <v>45387</v>
      </c>
      <c r="D514">
        <v>45</v>
      </c>
      <c r="E514" t="s">
        <v>83</v>
      </c>
      <c r="F514" t="s">
        <v>32</v>
      </c>
      <c r="G514" t="s">
        <v>26</v>
      </c>
      <c r="H514">
        <v>20</v>
      </c>
      <c r="I514" s="5">
        <v>71658</v>
      </c>
      <c r="J514" t="str" cm="1">
        <f t="array" ref="J51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14">
        <v>686</v>
      </c>
      <c r="L514" t="s">
        <v>27</v>
      </c>
      <c r="M514">
        <v>0</v>
      </c>
      <c r="N514">
        <v>585</v>
      </c>
      <c r="O514" t="str" cm="1">
        <f t="array" ref="O51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14" t="s">
        <v>60</v>
      </c>
      <c r="Q514" s="5">
        <v>8700</v>
      </c>
      <c r="R514">
        <v>48</v>
      </c>
      <c r="S514">
        <v>8.9600000000000009</v>
      </c>
      <c r="T514">
        <v>216.33</v>
      </c>
      <c r="U514">
        <v>13.4</v>
      </c>
      <c r="V514" t="str" cm="1">
        <f t="array" ref="V51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14" t="s">
        <v>41</v>
      </c>
      <c r="X514">
        <v>0</v>
      </c>
      <c r="Y514">
        <v>0</v>
      </c>
      <c r="Z514" s="5">
        <f>IF(Merge1[[#This Row],[loan_applications.defaulted]]=0,Merge1[[#This Row],[loan_applications.loan_amount]]*(Merge1[[#This Row],[loan_applications.interest_rate]]/100)*(Merge1[[#This Row],[loan_applications.term_months]]/12),0)</f>
        <v>3118.0800000000004</v>
      </c>
      <c r="AA514" s="5">
        <f>IF(Merge1[[#This Row],[loan_applications.defaulted]]=1,Merge1[[#This Row],[loan_applications.loan_amount]],0)</f>
        <v>0</v>
      </c>
    </row>
    <row r="515" spans="1:27" x14ac:dyDescent="0.35">
      <c r="A515" t="s">
        <v>1012</v>
      </c>
      <c r="B515" t="s">
        <v>1013</v>
      </c>
      <c r="C515" s="1">
        <v>45827</v>
      </c>
      <c r="D515">
        <v>56</v>
      </c>
      <c r="E515" t="s">
        <v>92</v>
      </c>
      <c r="F515" t="s">
        <v>32</v>
      </c>
      <c r="G515" t="s">
        <v>63</v>
      </c>
      <c r="H515">
        <v>13</v>
      </c>
      <c r="I515" s="5">
        <v>29725</v>
      </c>
      <c r="J515" t="str" cm="1">
        <f t="array" ref="J51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15">
        <v>847</v>
      </c>
      <c r="L515" t="s">
        <v>17</v>
      </c>
      <c r="M515">
        <v>3</v>
      </c>
      <c r="N515">
        <v>378</v>
      </c>
      <c r="O515" t="str" cm="1">
        <f t="array" ref="O51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15" t="s">
        <v>50</v>
      </c>
      <c r="Q515" s="5">
        <v>7500</v>
      </c>
      <c r="R515">
        <v>60</v>
      </c>
      <c r="S515">
        <v>8.4600000000000009</v>
      </c>
      <c r="T515">
        <v>153.72999999999999</v>
      </c>
      <c r="U515">
        <v>21.5</v>
      </c>
      <c r="V515" t="str" cm="1">
        <f t="array" ref="V51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15" t="s">
        <v>21</v>
      </c>
      <c r="X515">
        <v>0</v>
      </c>
      <c r="Y515">
        <v>0</v>
      </c>
      <c r="Z515" s="5">
        <f>IF(Merge1[[#This Row],[loan_applications.defaulted]]=0,Merge1[[#This Row],[loan_applications.loan_amount]]*(Merge1[[#This Row],[loan_applications.interest_rate]]/100)*(Merge1[[#This Row],[loan_applications.term_months]]/12),0)</f>
        <v>3172.5000000000005</v>
      </c>
      <c r="AA515" s="5">
        <f>IF(Merge1[[#This Row],[loan_applications.defaulted]]=1,Merge1[[#This Row],[loan_applications.loan_amount]],0)</f>
        <v>0</v>
      </c>
    </row>
    <row r="516" spans="1:27" x14ac:dyDescent="0.35">
      <c r="A516" t="s">
        <v>1014</v>
      </c>
      <c r="B516" t="s">
        <v>1015</v>
      </c>
      <c r="C516" s="1">
        <v>45688</v>
      </c>
      <c r="D516">
        <v>66</v>
      </c>
      <c r="E516" t="s">
        <v>162</v>
      </c>
      <c r="F516" t="s">
        <v>62</v>
      </c>
      <c r="G516" t="s">
        <v>16</v>
      </c>
      <c r="H516">
        <v>9</v>
      </c>
      <c r="I516" s="5">
        <v>91943</v>
      </c>
      <c r="J516" t="str" cm="1">
        <f t="array" ref="J51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16">
        <v>576</v>
      </c>
      <c r="L516" t="s">
        <v>27</v>
      </c>
      <c r="M516">
        <v>1</v>
      </c>
      <c r="N516">
        <v>718</v>
      </c>
      <c r="O516" t="str" cm="1">
        <f t="array" ref="O51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16" t="s">
        <v>45</v>
      </c>
      <c r="Q516" s="5">
        <v>47100</v>
      </c>
      <c r="R516">
        <v>12</v>
      </c>
      <c r="S516">
        <v>14.85</v>
      </c>
      <c r="T516">
        <v>4247.83</v>
      </c>
      <c r="U516">
        <v>64.8</v>
      </c>
      <c r="V516" t="str" cm="1">
        <f t="array" ref="V51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16" t="s">
        <v>24</v>
      </c>
      <c r="X516">
        <v>49</v>
      </c>
      <c r="Y516">
        <v>1</v>
      </c>
      <c r="Z516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16" s="5">
        <f>IF(Merge1[[#This Row],[loan_applications.defaulted]]=1,Merge1[[#This Row],[loan_applications.loan_amount]],0)</f>
        <v>47100</v>
      </c>
    </row>
    <row r="517" spans="1:27" x14ac:dyDescent="0.35">
      <c r="A517" t="s">
        <v>1016</v>
      </c>
      <c r="B517" t="s">
        <v>1017</v>
      </c>
      <c r="C517" s="1">
        <v>45608</v>
      </c>
      <c r="D517">
        <v>25</v>
      </c>
      <c r="E517" t="s">
        <v>95</v>
      </c>
      <c r="F517" t="s">
        <v>15</v>
      </c>
      <c r="G517" t="s">
        <v>26</v>
      </c>
      <c r="H517">
        <v>2</v>
      </c>
      <c r="I517" s="5">
        <v>24879</v>
      </c>
      <c r="J517" t="str" cm="1">
        <f t="array" ref="J51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17">
        <v>641</v>
      </c>
      <c r="L517" t="s">
        <v>34</v>
      </c>
      <c r="M517">
        <v>2</v>
      </c>
      <c r="N517">
        <v>552</v>
      </c>
      <c r="O517" t="str" cm="1">
        <f t="array" ref="O51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17" t="s">
        <v>71</v>
      </c>
      <c r="Q517" s="5">
        <v>14000</v>
      </c>
      <c r="R517">
        <v>12</v>
      </c>
      <c r="S517">
        <v>10.029999999999999</v>
      </c>
      <c r="T517">
        <v>1231.02</v>
      </c>
      <c r="U517">
        <v>86</v>
      </c>
      <c r="V517" t="str" cm="1">
        <f t="array" ref="V51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17" t="s">
        <v>91</v>
      </c>
      <c r="X517">
        <v>30</v>
      </c>
      <c r="Y517">
        <v>0</v>
      </c>
      <c r="Z517" s="5">
        <f>IF(Merge1[[#This Row],[loan_applications.defaulted]]=0,Merge1[[#This Row],[loan_applications.loan_amount]]*(Merge1[[#This Row],[loan_applications.interest_rate]]/100)*(Merge1[[#This Row],[loan_applications.term_months]]/12),0)</f>
        <v>1404.2</v>
      </c>
      <c r="AA517" s="5">
        <f>IF(Merge1[[#This Row],[loan_applications.defaulted]]=1,Merge1[[#This Row],[loan_applications.loan_amount]],0)</f>
        <v>0</v>
      </c>
    </row>
    <row r="518" spans="1:27" x14ac:dyDescent="0.35">
      <c r="A518" t="s">
        <v>1018</v>
      </c>
      <c r="B518" t="s">
        <v>1017</v>
      </c>
      <c r="C518" s="1">
        <v>45457</v>
      </c>
      <c r="D518">
        <v>25</v>
      </c>
      <c r="E518" t="s">
        <v>95</v>
      </c>
      <c r="F518" t="s">
        <v>15</v>
      </c>
      <c r="G518" t="s">
        <v>26</v>
      </c>
      <c r="H518">
        <v>2</v>
      </c>
      <c r="I518" s="5">
        <v>24879</v>
      </c>
      <c r="J518" t="str" cm="1">
        <f t="array" ref="J51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18">
        <v>641</v>
      </c>
      <c r="L518" t="s">
        <v>34</v>
      </c>
      <c r="M518">
        <v>2</v>
      </c>
      <c r="N518">
        <v>552</v>
      </c>
      <c r="O518" t="str" cm="1">
        <f t="array" ref="O51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18" t="s">
        <v>54</v>
      </c>
      <c r="Q518" s="5">
        <v>11300</v>
      </c>
      <c r="R518">
        <v>24</v>
      </c>
      <c r="S518">
        <v>13.99</v>
      </c>
      <c r="T518">
        <v>542.49</v>
      </c>
      <c r="U518">
        <v>52.8</v>
      </c>
      <c r="V518" t="str" cm="1">
        <f t="array" ref="V51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18" t="s">
        <v>24</v>
      </c>
      <c r="X518">
        <v>177</v>
      </c>
      <c r="Y518">
        <v>1</v>
      </c>
      <c r="Z51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18" s="5">
        <f>IF(Merge1[[#This Row],[loan_applications.defaulted]]=1,Merge1[[#This Row],[loan_applications.loan_amount]],0)</f>
        <v>11300</v>
      </c>
    </row>
    <row r="519" spans="1:27" x14ac:dyDescent="0.35">
      <c r="A519" t="s">
        <v>1019</v>
      </c>
      <c r="B519" t="s">
        <v>1020</v>
      </c>
      <c r="C519" s="1">
        <v>45776</v>
      </c>
      <c r="D519">
        <v>23</v>
      </c>
      <c r="E519" t="s">
        <v>157</v>
      </c>
      <c r="F519" t="s">
        <v>32</v>
      </c>
      <c r="G519" t="s">
        <v>26</v>
      </c>
      <c r="H519">
        <v>0</v>
      </c>
      <c r="I519" s="5">
        <v>40976</v>
      </c>
      <c r="J519" t="str" cm="1">
        <f t="array" ref="J519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19">
        <v>846</v>
      </c>
      <c r="L519" t="s">
        <v>17</v>
      </c>
      <c r="M519">
        <v>0</v>
      </c>
      <c r="N519">
        <v>1618</v>
      </c>
      <c r="O519" t="str" cm="1">
        <f t="array" ref="O51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19" t="s">
        <v>54</v>
      </c>
      <c r="Q519" s="5">
        <v>11800</v>
      </c>
      <c r="R519">
        <v>48</v>
      </c>
      <c r="S519">
        <v>7.19</v>
      </c>
      <c r="T519">
        <v>283.61</v>
      </c>
      <c r="U519">
        <v>55.7</v>
      </c>
      <c r="V519" t="str" cm="1">
        <f t="array" ref="V51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19" t="s">
        <v>41</v>
      </c>
      <c r="X519">
        <v>0</v>
      </c>
      <c r="Y519">
        <v>0</v>
      </c>
      <c r="Z519" s="5">
        <f>IF(Merge1[[#This Row],[loan_applications.defaulted]]=0,Merge1[[#This Row],[loan_applications.loan_amount]]*(Merge1[[#This Row],[loan_applications.interest_rate]]/100)*(Merge1[[#This Row],[loan_applications.term_months]]/12),0)</f>
        <v>3393.6800000000003</v>
      </c>
      <c r="AA519" s="5">
        <f>IF(Merge1[[#This Row],[loan_applications.defaulted]]=1,Merge1[[#This Row],[loan_applications.loan_amount]],0)</f>
        <v>0</v>
      </c>
    </row>
    <row r="520" spans="1:27" x14ac:dyDescent="0.35">
      <c r="A520" t="s">
        <v>1021</v>
      </c>
      <c r="B520" t="s">
        <v>1022</v>
      </c>
      <c r="C520" s="1">
        <v>45702</v>
      </c>
      <c r="D520">
        <v>44</v>
      </c>
      <c r="E520" t="s">
        <v>169</v>
      </c>
      <c r="F520" t="s">
        <v>62</v>
      </c>
      <c r="G520" t="s">
        <v>26</v>
      </c>
      <c r="H520">
        <v>19</v>
      </c>
      <c r="I520" s="5">
        <v>122115</v>
      </c>
      <c r="J520" t="str" cm="1">
        <f t="array" ref="J52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0">
        <v>704</v>
      </c>
      <c r="L520" t="s">
        <v>27</v>
      </c>
      <c r="M520">
        <v>3</v>
      </c>
      <c r="N520">
        <v>2449</v>
      </c>
      <c r="O520" t="str" cm="1">
        <f t="array" ref="O52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20" t="s">
        <v>54</v>
      </c>
      <c r="Q520" s="5">
        <v>25400</v>
      </c>
      <c r="R520">
        <v>36</v>
      </c>
      <c r="S520">
        <v>12.56</v>
      </c>
      <c r="T520">
        <v>850.45</v>
      </c>
      <c r="U520">
        <v>32.4</v>
      </c>
      <c r="V520" t="str" cm="1">
        <f t="array" ref="V52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20" t="s">
        <v>91</v>
      </c>
      <c r="X520">
        <v>0</v>
      </c>
      <c r="Y520">
        <v>0</v>
      </c>
      <c r="Z520" s="5">
        <f>IF(Merge1[[#This Row],[loan_applications.defaulted]]=0,Merge1[[#This Row],[loan_applications.loan_amount]]*(Merge1[[#This Row],[loan_applications.interest_rate]]/100)*(Merge1[[#This Row],[loan_applications.term_months]]/12),0)</f>
        <v>9570.7200000000012</v>
      </c>
      <c r="AA520" s="5">
        <f>IF(Merge1[[#This Row],[loan_applications.defaulted]]=1,Merge1[[#This Row],[loan_applications.loan_amount]],0)</f>
        <v>0</v>
      </c>
    </row>
    <row r="521" spans="1:27" x14ac:dyDescent="0.35">
      <c r="A521" t="s">
        <v>1023</v>
      </c>
      <c r="B521" t="s">
        <v>1022</v>
      </c>
      <c r="C521" s="1">
        <v>45715</v>
      </c>
      <c r="D521">
        <v>44</v>
      </c>
      <c r="E521" t="s">
        <v>169</v>
      </c>
      <c r="F521" t="s">
        <v>62</v>
      </c>
      <c r="G521" t="s">
        <v>26</v>
      </c>
      <c r="H521">
        <v>19</v>
      </c>
      <c r="I521" s="5">
        <v>122115</v>
      </c>
      <c r="J521" t="str" cm="1">
        <f t="array" ref="J52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1">
        <v>704</v>
      </c>
      <c r="L521" t="s">
        <v>27</v>
      </c>
      <c r="M521">
        <v>3</v>
      </c>
      <c r="N521">
        <v>2449</v>
      </c>
      <c r="O521" t="str" cm="1">
        <f t="array" ref="O52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21" t="s">
        <v>20</v>
      </c>
      <c r="Q521" s="5">
        <v>42600</v>
      </c>
      <c r="R521">
        <v>36</v>
      </c>
      <c r="S521">
        <v>10.14</v>
      </c>
      <c r="T521">
        <v>1377.38</v>
      </c>
      <c r="U521">
        <v>37.6</v>
      </c>
      <c r="V521" t="str" cm="1">
        <f t="array" ref="V52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21" t="s">
        <v>21</v>
      </c>
      <c r="X521">
        <v>0</v>
      </c>
      <c r="Y521">
        <v>0</v>
      </c>
      <c r="Z521" s="5">
        <f>IF(Merge1[[#This Row],[loan_applications.defaulted]]=0,Merge1[[#This Row],[loan_applications.loan_amount]]*(Merge1[[#This Row],[loan_applications.interest_rate]]/100)*(Merge1[[#This Row],[loan_applications.term_months]]/12),0)</f>
        <v>12958.920000000002</v>
      </c>
      <c r="AA521" s="5">
        <f>IF(Merge1[[#This Row],[loan_applications.defaulted]]=1,Merge1[[#This Row],[loan_applications.loan_amount]],0)</f>
        <v>0</v>
      </c>
    </row>
    <row r="522" spans="1:27" x14ac:dyDescent="0.35">
      <c r="A522" t="s">
        <v>1024</v>
      </c>
      <c r="B522" t="s">
        <v>1025</v>
      </c>
      <c r="C522" s="1">
        <v>45300</v>
      </c>
      <c r="D522">
        <v>64</v>
      </c>
      <c r="E522" t="s">
        <v>25</v>
      </c>
      <c r="F522" t="s">
        <v>15</v>
      </c>
      <c r="G522" t="s">
        <v>26</v>
      </c>
      <c r="H522">
        <v>34</v>
      </c>
      <c r="I522" s="5">
        <v>30139</v>
      </c>
      <c r="J522" t="str" cm="1">
        <f t="array" ref="J52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2">
        <v>725</v>
      </c>
      <c r="L522" t="s">
        <v>34</v>
      </c>
      <c r="M522">
        <v>0</v>
      </c>
      <c r="N522">
        <v>976</v>
      </c>
      <c r="O522" t="str" cm="1">
        <f t="array" ref="O52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22" t="s">
        <v>71</v>
      </c>
      <c r="Q522" s="5">
        <v>4400</v>
      </c>
      <c r="R522">
        <v>24</v>
      </c>
      <c r="S522">
        <v>11.42</v>
      </c>
      <c r="T522">
        <v>205.93</v>
      </c>
      <c r="U522">
        <v>47.1</v>
      </c>
      <c r="V522" t="str" cm="1">
        <f t="array" ref="V52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22" t="s">
        <v>41</v>
      </c>
      <c r="X522">
        <v>0</v>
      </c>
      <c r="Y522">
        <v>0</v>
      </c>
      <c r="Z522" s="5">
        <f>IF(Merge1[[#This Row],[loan_applications.defaulted]]=0,Merge1[[#This Row],[loan_applications.loan_amount]]*(Merge1[[#This Row],[loan_applications.interest_rate]]/100)*(Merge1[[#This Row],[loan_applications.term_months]]/12),0)</f>
        <v>1004.9599999999999</v>
      </c>
      <c r="AA522" s="5">
        <f>IF(Merge1[[#This Row],[loan_applications.defaulted]]=1,Merge1[[#This Row],[loan_applications.loan_amount]],0)</f>
        <v>0</v>
      </c>
    </row>
    <row r="523" spans="1:27" x14ac:dyDescent="0.35">
      <c r="A523" t="s">
        <v>1026</v>
      </c>
      <c r="B523" t="s">
        <v>1027</v>
      </c>
      <c r="C523" s="1">
        <v>45771</v>
      </c>
      <c r="D523">
        <v>68</v>
      </c>
      <c r="E523" t="s">
        <v>86</v>
      </c>
      <c r="F523" t="s">
        <v>32</v>
      </c>
      <c r="G523" t="s">
        <v>75</v>
      </c>
      <c r="H523">
        <v>9</v>
      </c>
      <c r="I523" s="5">
        <v>24786</v>
      </c>
      <c r="J523" t="str" cm="1">
        <f t="array" ref="J523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23">
        <v>809</v>
      </c>
      <c r="L523" t="s">
        <v>27</v>
      </c>
      <c r="M523">
        <v>2</v>
      </c>
      <c r="N523">
        <v>510</v>
      </c>
      <c r="O523" t="str" cm="1">
        <f t="array" ref="O52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23" t="s">
        <v>54</v>
      </c>
      <c r="Q523" s="5">
        <v>12600</v>
      </c>
      <c r="R523">
        <v>12</v>
      </c>
      <c r="S523">
        <v>8.26</v>
      </c>
      <c r="T523">
        <v>1097.57</v>
      </c>
      <c r="U523">
        <v>77.8</v>
      </c>
      <c r="V523" t="str" cm="1">
        <f t="array" ref="V52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23" t="s">
        <v>91</v>
      </c>
      <c r="X523">
        <v>15</v>
      </c>
      <c r="Y523">
        <v>0</v>
      </c>
      <c r="Z523" s="5">
        <f>IF(Merge1[[#This Row],[loan_applications.defaulted]]=0,Merge1[[#This Row],[loan_applications.loan_amount]]*(Merge1[[#This Row],[loan_applications.interest_rate]]/100)*(Merge1[[#This Row],[loan_applications.term_months]]/12),0)</f>
        <v>1040.76</v>
      </c>
      <c r="AA523" s="5">
        <f>IF(Merge1[[#This Row],[loan_applications.defaulted]]=1,Merge1[[#This Row],[loan_applications.loan_amount]],0)</f>
        <v>0</v>
      </c>
    </row>
    <row r="524" spans="1:27" x14ac:dyDescent="0.35">
      <c r="A524" t="s">
        <v>1028</v>
      </c>
      <c r="B524" t="s">
        <v>1029</v>
      </c>
      <c r="C524" s="1">
        <v>45628</v>
      </c>
      <c r="D524">
        <v>57</v>
      </c>
      <c r="E524" t="s">
        <v>25</v>
      </c>
      <c r="F524" t="s">
        <v>62</v>
      </c>
      <c r="G524" t="s">
        <v>26</v>
      </c>
      <c r="H524">
        <v>13</v>
      </c>
      <c r="I524" s="5">
        <v>118803</v>
      </c>
      <c r="J524" t="str" cm="1">
        <f t="array" ref="J52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4">
        <v>721</v>
      </c>
      <c r="L524" t="s">
        <v>34</v>
      </c>
      <c r="M524">
        <v>3</v>
      </c>
      <c r="N524">
        <v>1200</v>
      </c>
      <c r="O524" t="str" cm="1">
        <f t="array" ref="O52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24" t="s">
        <v>54</v>
      </c>
      <c r="Q524" s="5">
        <v>46300</v>
      </c>
      <c r="R524">
        <v>48</v>
      </c>
      <c r="S524">
        <v>8.98</v>
      </c>
      <c r="T524">
        <v>1151.74</v>
      </c>
      <c r="U524">
        <v>23.8</v>
      </c>
      <c r="V524" t="str" cm="1">
        <f t="array" ref="V52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24" t="s">
        <v>91</v>
      </c>
      <c r="X524">
        <v>0</v>
      </c>
      <c r="Y524">
        <v>0</v>
      </c>
      <c r="Z524" s="5">
        <f>IF(Merge1[[#This Row],[loan_applications.defaulted]]=0,Merge1[[#This Row],[loan_applications.loan_amount]]*(Merge1[[#This Row],[loan_applications.interest_rate]]/100)*(Merge1[[#This Row],[loan_applications.term_months]]/12),0)</f>
        <v>16630.96</v>
      </c>
      <c r="AA524" s="5">
        <f>IF(Merge1[[#This Row],[loan_applications.defaulted]]=1,Merge1[[#This Row],[loan_applications.loan_amount]],0)</f>
        <v>0</v>
      </c>
    </row>
    <row r="525" spans="1:27" x14ac:dyDescent="0.35">
      <c r="A525" t="s">
        <v>1030</v>
      </c>
      <c r="B525" t="s">
        <v>1031</v>
      </c>
      <c r="C525" s="1">
        <v>45773</v>
      </c>
      <c r="D525">
        <v>33</v>
      </c>
      <c r="E525" t="s">
        <v>330</v>
      </c>
      <c r="F525" t="s">
        <v>68</v>
      </c>
      <c r="G525" t="s">
        <v>33</v>
      </c>
      <c r="H525">
        <v>10</v>
      </c>
      <c r="I525" s="5">
        <v>38377</v>
      </c>
      <c r="J525" t="str" cm="1">
        <f t="array" ref="J52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25">
        <v>617</v>
      </c>
      <c r="L525" t="s">
        <v>17</v>
      </c>
      <c r="M525">
        <v>0</v>
      </c>
      <c r="N525">
        <v>1360</v>
      </c>
      <c r="O525" t="str" cm="1">
        <f t="array" ref="O52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25" t="s">
        <v>20</v>
      </c>
      <c r="Q525" s="5">
        <v>8700</v>
      </c>
      <c r="R525">
        <v>60</v>
      </c>
      <c r="S525">
        <v>10.5</v>
      </c>
      <c r="T525">
        <v>187</v>
      </c>
      <c r="U525">
        <v>48.4</v>
      </c>
      <c r="V525" t="str" cm="1">
        <f t="array" ref="V52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25" t="s">
        <v>24</v>
      </c>
      <c r="X525">
        <v>84</v>
      </c>
      <c r="Y525">
        <v>1</v>
      </c>
      <c r="Z52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25" s="5">
        <f>IF(Merge1[[#This Row],[loan_applications.defaulted]]=1,Merge1[[#This Row],[loan_applications.loan_amount]],0)</f>
        <v>8700</v>
      </c>
    </row>
    <row r="526" spans="1:27" x14ac:dyDescent="0.35">
      <c r="A526" t="s">
        <v>1032</v>
      </c>
      <c r="B526" t="s">
        <v>1033</v>
      </c>
      <c r="C526" s="1">
        <v>45662</v>
      </c>
      <c r="D526">
        <v>57</v>
      </c>
      <c r="E526" t="s">
        <v>79</v>
      </c>
      <c r="F526" t="s">
        <v>32</v>
      </c>
      <c r="G526" t="s">
        <v>26</v>
      </c>
      <c r="H526">
        <v>16</v>
      </c>
      <c r="I526" s="5">
        <v>59143</v>
      </c>
      <c r="J526" t="str" cm="1">
        <f t="array" ref="J52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6">
        <v>564</v>
      </c>
      <c r="L526" t="s">
        <v>27</v>
      </c>
      <c r="M526">
        <v>2</v>
      </c>
      <c r="N526">
        <v>2591</v>
      </c>
      <c r="O526" t="str" cm="1">
        <f t="array" ref="O52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26" t="s">
        <v>60</v>
      </c>
      <c r="Q526" s="5">
        <v>39200</v>
      </c>
      <c r="R526">
        <v>12</v>
      </c>
      <c r="S526">
        <v>15.28</v>
      </c>
      <c r="T526">
        <v>3543.31</v>
      </c>
      <c r="U526">
        <v>124.5</v>
      </c>
      <c r="V526" t="str" cm="1">
        <f t="array" ref="V52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26" t="s">
        <v>91</v>
      </c>
      <c r="X526">
        <v>30</v>
      </c>
      <c r="Y526">
        <v>0</v>
      </c>
      <c r="Z526" s="5">
        <f>IF(Merge1[[#This Row],[loan_applications.defaulted]]=0,Merge1[[#This Row],[loan_applications.loan_amount]]*(Merge1[[#This Row],[loan_applications.interest_rate]]/100)*(Merge1[[#This Row],[loan_applications.term_months]]/12),0)</f>
        <v>5989.7599999999993</v>
      </c>
      <c r="AA526" s="5">
        <f>IF(Merge1[[#This Row],[loan_applications.defaulted]]=1,Merge1[[#This Row],[loan_applications.loan_amount]],0)</f>
        <v>0</v>
      </c>
    </row>
    <row r="527" spans="1:27" x14ac:dyDescent="0.35">
      <c r="A527" t="s">
        <v>1034</v>
      </c>
      <c r="B527" t="s">
        <v>1035</v>
      </c>
      <c r="C527" s="1">
        <v>45472</v>
      </c>
      <c r="D527">
        <v>44</v>
      </c>
      <c r="E527" t="s">
        <v>118</v>
      </c>
      <c r="F527" t="s">
        <v>15</v>
      </c>
      <c r="G527" t="s">
        <v>16</v>
      </c>
      <c r="H527">
        <v>2</v>
      </c>
      <c r="I527" s="5">
        <v>25921</v>
      </c>
      <c r="J527" t="str" cm="1">
        <f t="array" ref="J52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27">
        <v>842</v>
      </c>
      <c r="L527" t="s">
        <v>17</v>
      </c>
      <c r="M527">
        <v>1</v>
      </c>
      <c r="N527">
        <v>462</v>
      </c>
      <c r="O527" t="str" cm="1">
        <f t="array" ref="O52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27" t="s">
        <v>60</v>
      </c>
      <c r="Q527" s="5">
        <v>26200</v>
      </c>
      <c r="R527">
        <v>36</v>
      </c>
      <c r="S527">
        <v>7.23</v>
      </c>
      <c r="T527">
        <v>811.74</v>
      </c>
      <c r="U527">
        <v>59</v>
      </c>
      <c r="V527" t="str" cm="1">
        <f t="array" ref="V52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27" t="s">
        <v>24</v>
      </c>
      <c r="X527">
        <v>47</v>
      </c>
      <c r="Y527">
        <v>1</v>
      </c>
      <c r="Z52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27" s="5">
        <f>IF(Merge1[[#This Row],[loan_applications.defaulted]]=1,Merge1[[#This Row],[loan_applications.loan_amount]],0)</f>
        <v>26200</v>
      </c>
    </row>
    <row r="528" spans="1:27" x14ac:dyDescent="0.35">
      <c r="A528" t="s">
        <v>1036</v>
      </c>
      <c r="B528" t="s">
        <v>1037</v>
      </c>
      <c r="C528" s="1">
        <v>45557</v>
      </c>
      <c r="D528">
        <v>64</v>
      </c>
      <c r="E528" t="s">
        <v>203</v>
      </c>
      <c r="F528" t="s">
        <v>68</v>
      </c>
      <c r="G528" t="s">
        <v>63</v>
      </c>
      <c r="H528">
        <v>20</v>
      </c>
      <c r="I528" s="5">
        <v>30540</v>
      </c>
      <c r="J528" t="str" cm="1">
        <f t="array" ref="J52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28">
        <v>711</v>
      </c>
      <c r="L528" t="s">
        <v>17</v>
      </c>
      <c r="M528">
        <v>0</v>
      </c>
      <c r="N528">
        <v>440</v>
      </c>
      <c r="O528" t="str" cm="1">
        <f t="array" ref="O52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28" t="s">
        <v>54</v>
      </c>
      <c r="Q528" s="5">
        <v>14900</v>
      </c>
      <c r="R528">
        <v>48</v>
      </c>
      <c r="S528">
        <v>10.77</v>
      </c>
      <c r="T528">
        <v>383.44</v>
      </c>
      <c r="U528">
        <v>32.4</v>
      </c>
      <c r="V528" t="str" cm="1">
        <f t="array" ref="V52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28" t="s">
        <v>21</v>
      </c>
      <c r="X528">
        <v>0</v>
      </c>
      <c r="Y528">
        <v>0</v>
      </c>
      <c r="Z528" s="5">
        <f>IF(Merge1[[#This Row],[loan_applications.defaulted]]=0,Merge1[[#This Row],[loan_applications.loan_amount]]*(Merge1[[#This Row],[loan_applications.interest_rate]]/100)*(Merge1[[#This Row],[loan_applications.term_months]]/12),0)</f>
        <v>6418.9199999999992</v>
      </c>
      <c r="AA528" s="5">
        <f>IF(Merge1[[#This Row],[loan_applications.defaulted]]=1,Merge1[[#This Row],[loan_applications.loan_amount]],0)</f>
        <v>0</v>
      </c>
    </row>
    <row r="529" spans="1:27" x14ac:dyDescent="0.35">
      <c r="A529" t="s">
        <v>1038</v>
      </c>
      <c r="B529" t="s">
        <v>1039</v>
      </c>
      <c r="C529" s="1">
        <v>45456</v>
      </c>
      <c r="D529">
        <v>36</v>
      </c>
      <c r="E529" t="s">
        <v>118</v>
      </c>
      <c r="F529" t="s">
        <v>62</v>
      </c>
      <c r="G529" t="s">
        <v>63</v>
      </c>
      <c r="H529">
        <v>4</v>
      </c>
      <c r="I529" s="5">
        <v>43086</v>
      </c>
      <c r="J529" t="str" cm="1">
        <f t="array" ref="J529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29">
        <v>714</v>
      </c>
      <c r="L529" t="s">
        <v>17</v>
      </c>
      <c r="M529">
        <v>3</v>
      </c>
      <c r="N529">
        <v>1010</v>
      </c>
      <c r="O529" t="str" cm="1">
        <f t="array" ref="O52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29" t="s">
        <v>37</v>
      </c>
      <c r="Q529" s="5">
        <v>8800</v>
      </c>
      <c r="R529">
        <v>48</v>
      </c>
      <c r="S529">
        <v>10.51</v>
      </c>
      <c r="T529">
        <v>225.35</v>
      </c>
      <c r="U529">
        <v>34.4</v>
      </c>
      <c r="V529" t="str" cm="1">
        <f t="array" ref="V52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29" t="s">
        <v>21</v>
      </c>
      <c r="X529">
        <v>0</v>
      </c>
      <c r="Y529">
        <v>0</v>
      </c>
      <c r="Z529" s="5">
        <f>IF(Merge1[[#This Row],[loan_applications.defaulted]]=0,Merge1[[#This Row],[loan_applications.loan_amount]]*(Merge1[[#This Row],[loan_applications.interest_rate]]/100)*(Merge1[[#This Row],[loan_applications.term_months]]/12),0)</f>
        <v>3699.52</v>
      </c>
      <c r="AA529" s="5">
        <f>IF(Merge1[[#This Row],[loan_applications.defaulted]]=1,Merge1[[#This Row],[loan_applications.loan_amount]],0)</f>
        <v>0</v>
      </c>
    </row>
    <row r="530" spans="1:27" x14ac:dyDescent="0.35">
      <c r="A530" t="s">
        <v>1040</v>
      </c>
      <c r="B530" t="s">
        <v>1041</v>
      </c>
      <c r="C530" s="1">
        <v>45440</v>
      </c>
      <c r="D530">
        <v>44</v>
      </c>
      <c r="E530" t="s">
        <v>31</v>
      </c>
      <c r="F530" t="s">
        <v>62</v>
      </c>
      <c r="G530" t="s">
        <v>26</v>
      </c>
      <c r="H530">
        <v>19</v>
      </c>
      <c r="I530" s="5">
        <v>63937</v>
      </c>
      <c r="J530" t="str" cm="1">
        <f t="array" ref="J53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0">
        <v>850</v>
      </c>
      <c r="L530" t="s">
        <v>27</v>
      </c>
      <c r="M530">
        <v>3</v>
      </c>
      <c r="N530">
        <v>639</v>
      </c>
      <c r="O530" t="str" cm="1">
        <f t="array" ref="O53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30" t="s">
        <v>60</v>
      </c>
      <c r="Q530" s="5">
        <v>44900</v>
      </c>
      <c r="R530">
        <v>24</v>
      </c>
      <c r="S530">
        <v>6.22</v>
      </c>
      <c r="T530">
        <v>1994.45</v>
      </c>
      <c r="U530">
        <v>49.4</v>
      </c>
      <c r="V530" t="str" cm="1">
        <f t="array" ref="V53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30" t="s">
        <v>91</v>
      </c>
      <c r="X530">
        <v>30</v>
      </c>
      <c r="Y530">
        <v>0</v>
      </c>
      <c r="Z530" s="5">
        <f>IF(Merge1[[#This Row],[loan_applications.defaulted]]=0,Merge1[[#This Row],[loan_applications.loan_amount]]*(Merge1[[#This Row],[loan_applications.interest_rate]]/100)*(Merge1[[#This Row],[loan_applications.term_months]]/12),0)</f>
        <v>5585.5599999999995</v>
      </c>
      <c r="AA530" s="5">
        <f>IF(Merge1[[#This Row],[loan_applications.defaulted]]=1,Merge1[[#This Row],[loan_applications.loan_amount]],0)</f>
        <v>0</v>
      </c>
    </row>
    <row r="531" spans="1:27" x14ac:dyDescent="0.35">
      <c r="A531" t="s">
        <v>1042</v>
      </c>
      <c r="B531" t="s">
        <v>1043</v>
      </c>
      <c r="C531" s="1">
        <v>45616</v>
      </c>
      <c r="D531">
        <v>56</v>
      </c>
      <c r="E531" t="s">
        <v>25</v>
      </c>
      <c r="F531" t="s">
        <v>15</v>
      </c>
      <c r="G531" t="s">
        <v>16</v>
      </c>
      <c r="H531">
        <v>1</v>
      </c>
      <c r="I531" s="5">
        <v>44456</v>
      </c>
      <c r="J531" t="str" cm="1">
        <f t="array" ref="J53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31">
        <v>568</v>
      </c>
      <c r="L531" t="s">
        <v>17</v>
      </c>
      <c r="M531">
        <v>0</v>
      </c>
      <c r="N531">
        <v>1263</v>
      </c>
      <c r="O531" t="str" cm="1">
        <f t="array" ref="O53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31" t="s">
        <v>45</v>
      </c>
      <c r="Q531" s="5">
        <v>12800</v>
      </c>
      <c r="R531">
        <v>24</v>
      </c>
      <c r="S531">
        <v>13.03</v>
      </c>
      <c r="T531">
        <v>608.72</v>
      </c>
      <c r="U531">
        <v>50.5</v>
      </c>
      <c r="V531" t="str" cm="1">
        <f t="array" ref="V53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31" t="s">
        <v>24</v>
      </c>
      <c r="X531">
        <v>134</v>
      </c>
      <c r="Y531">
        <v>1</v>
      </c>
      <c r="Z531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31" s="5">
        <f>IF(Merge1[[#This Row],[loan_applications.defaulted]]=1,Merge1[[#This Row],[loan_applications.loan_amount]],0)</f>
        <v>12800</v>
      </c>
    </row>
    <row r="532" spans="1:27" x14ac:dyDescent="0.35">
      <c r="A532" t="s">
        <v>1044</v>
      </c>
      <c r="B532" t="s">
        <v>1045</v>
      </c>
      <c r="C532" s="1">
        <v>45391</v>
      </c>
      <c r="D532">
        <v>47</v>
      </c>
      <c r="E532" t="s">
        <v>109</v>
      </c>
      <c r="F532" t="s">
        <v>62</v>
      </c>
      <c r="G532" t="s">
        <v>26</v>
      </c>
      <c r="H532">
        <v>17</v>
      </c>
      <c r="I532" s="5">
        <v>57745</v>
      </c>
      <c r="J532" t="str" cm="1">
        <f t="array" ref="J532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2">
        <v>663</v>
      </c>
      <c r="L532" t="s">
        <v>17</v>
      </c>
      <c r="M532">
        <v>1</v>
      </c>
      <c r="N532">
        <v>2105</v>
      </c>
      <c r="O532" t="str" cm="1">
        <f t="array" ref="O53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32" t="s">
        <v>60</v>
      </c>
      <c r="Q532" s="5">
        <v>47300</v>
      </c>
      <c r="R532">
        <v>24</v>
      </c>
      <c r="S532">
        <v>12.12</v>
      </c>
      <c r="T532">
        <v>2229.23</v>
      </c>
      <c r="U532">
        <v>90.1</v>
      </c>
      <c r="V532" t="str" cm="1">
        <f t="array" ref="V53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32" t="s">
        <v>24</v>
      </c>
      <c r="X532">
        <v>78</v>
      </c>
      <c r="Y532">
        <v>1</v>
      </c>
      <c r="Z53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32" s="5">
        <f>IF(Merge1[[#This Row],[loan_applications.defaulted]]=1,Merge1[[#This Row],[loan_applications.loan_amount]],0)</f>
        <v>47300</v>
      </c>
    </row>
    <row r="533" spans="1:27" x14ac:dyDescent="0.35">
      <c r="A533" t="s">
        <v>1046</v>
      </c>
      <c r="B533" t="s">
        <v>1047</v>
      </c>
      <c r="C533" s="1">
        <v>45487</v>
      </c>
      <c r="D533">
        <v>45</v>
      </c>
      <c r="E533" t="s">
        <v>83</v>
      </c>
      <c r="F533" t="s">
        <v>32</v>
      </c>
      <c r="G533" t="s">
        <v>33</v>
      </c>
      <c r="H533">
        <v>4</v>
      </c>
      <c r="I533" s="5">
        <v>78216</v>
      </c>
      <c r="J533" t="str" cm="1">
        <f t="array" ref="J53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33">
        <v>683</v>
      </c>
      <c r="L533" t="s">
        <v>34</v>
      </c>
      <c r="M533">
        <v>0</v>
      </c>
      <c r="N533">
        <v>1511</v>
      </c>
      <c r="O533" t="str" cm="1">
        <f t="array" ref="O53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33" t="s">
        <v>30</v>
      </c>
      <c r="Q533" s="5">
        <v>30800</v>
      </c>
      <c r="R533">
        <v>24</v>
      </c>
      <c r="S533">
        <v>10.36</v>
      </c>
      <c r="T533">
        <v>1426.39</v>
      </c>
      <c r="U533">
        <v>45.1</v>
      </c>
      <c r="V533" t="str" cm="1">
        <f t="array" ref="V53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33" t="s">
        <v>41</v>
      </c>
      <c r="X533">
        <v>0</v>
      </c>
      <c r="Y533">
        <v>0</v>
      </c>
      <c r="Z533" s="5">
        <f>IF(Merge1[[#This Row],[loan_applications.defaulted]]=0,Merge1[[#This Row],[loan_applications.loan_amount]]*(Merge1[[#This Row],[loan_applications.interest_rate]]/100)*(Merge1[[#This Row],[loan_applications.term_months]]/12),0)</f>
        <v>6381.76</v>
      </c>
      <c r="AA533" s="5">
        <f>IF(Merge1[[#This Row],[loan_applications.defaulted]]=1,Merge1[[#This Row],[loan_applications.loan_amount]],0)</f>
        <v>0</v>
      </c>
    </row>
    <row r="534" spans="1:27" x14ac:dyDescent="0.35">
      <c r="A534" t="s">
        <v>1048</v>
      </c>
      <c r="B534" t="s">
        <v>1049</v>
      </c>
      <c r="C534" s="1">
        <v>45758</v>
      </c>
      <c r="D534">
        <v>22</v>
      </c>
      <c r="E534" t="s">
        <v>83</v>
      </c>
      <c r="F534" t="s">
        <v>32</v>
      </c>
      <c r="G534" t="s">
        <v>33</v>
      </c>
      <c r="H534">
        <v>2</v>
      </c>
      <c r="I534" s="5">
        <v>92057</v>
      </c>
      <c r="J534" t="str" cm="1">
        <f t="array" ref="J53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34">
        <v>850</v>
      </c>
      <c r="L534" t="s">
        <v>27</v>
      </c>
      <c r="M534">
        <v>0</v>
      </c>
      <c r="N534">
        <v>994</v>
      </c>
      <c r="O534" t="str" cm="1">
        <f t="array" ref="O53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34" t="s">
        <v>60</v>
      </c>
      <c r="Q534" s="5">
        <v>16700</v>
      </c>
      <c r="R534">
        <v>12</v>
      </c>
      <c r="S534">
        <v>9.33</v>
      </c>
      <c r="T534">
        <v>1463</v>
      </c>
      <c r="U534">
        <v>32</v>
      </c>
      <c r="V534" t="str" cm="1">
        <f t="array" ref="V53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34" t="s">
        <v>21</v>
      </c>
      <c r="X534">
        <v>0</v>
      </c>
      <c r="Y534">
        <v>0</v>
      </c>
      <c r="Z534" s="5">
        <f>IF(Merge1[[#This Row],[loan_applications.defaulted]]=0,Merge1[[#This Row],[loan_applications.loan_amount]]*(Merge1[[#This Row],[loan_applications.interest_rate]]/100)*(Merge1[[#This Row],[loan_applications.term_months]]/12),0)</f>
        <v>1558.11</v>
      </c>
      <c r="AA534" s="5">
        <f>IF(Merge1[[#This Row],[loan_applications.defaulted]]=1,Merge1[[#This Row],[loan_applications.loan_amount]],0)</f>
        <v>0</v>
      </c>
    </row>
    <row r="535" spans="1:27" x14ac:dyDescent="0.35">
      <c r="A535" t="s">
        <v>1050</v>
      </c>
      <c r="B535" t="s">
        <v>1049</v>
      </c>
      <c r="C535" s="1">
        <v>45761</v>
      </c>
      <c r="D535">
        <v>22</v>
      </c>
      <c r="E535" t="s">
        <v>83</v>
      </c>
      <c r="F535" t="s">
        <v>32</v>
      </c>
      <c r="G535" t="s">
        <v>33</v>
      </c>
      <c r="H535">
        <v>2</v>
      </c>
      <c r="I535" s="5">
        <v>92057</v>
      </c>
      <c r="J535" t="str" cm="1">
        <f t="array" ref="J53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35">
        <v>850</v>
      </c>
      <c r="L535" t="s">
        <v>27</v>
      </c>
      <c r="M535">
        <v>0</v>
      </c>
      <c r="N535">
        <v>994</v>
      </c>
      <c r="O535" t="str" cm="1">
        <f t="array" ref="O53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35" t="s">
        <v>23</v>
      </c>
      <c r="Q535" s="5">
        <v>38700</v>
      </c>
      <c r="R535">
        <v>12</v>
      </c>
      <c r="S535">
        <v>10.47</v>
      </c>
      <c r="T535">
        <v>3410.81</v>
      </c>
      <c r="U535">
        <v>57.4</v>
      </c>
      <c r="V535" t="str" cm="1">
        <f t="array" ref="V53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35" t="s">
        <v>41</v>
      </c>
      <c r="X535">
        <v>0</v>
      </c>
      <c r="Y535">
        <v>0</v>
      </c>
      <c r="Z535" s="5">
        <f>IF(Merge1[[#This Row],[loan_applications.defaulted]]=0,Merge1[[#This Row],[loan_applications.loan_amount]]*(Merge1[[#This Row],[loan_applications.interest_rate]]/100)*(Merge1[[#This Row],[loan_applications.term_months]]/12),0)</f>
        <v>4051.89</v>
      </c>
      <c r="AA535" s="5">
        <f>IF(Merge1[[#This Row],[loan_applications.defaulted]]=1,Merge1[[#This Row],[loan_applications.loan_amount]],0)</f>
        <v>0</v>
      </c>
    </row>
    <row r="536" spans="1:27" x14ac:dyDescent="0.35">
      <c r="A536" t="s">
        <v>1051</v>
      </c>
      <c r="B536" t="s">
        <v>1052</v>
      </c>
      <c r="C536" s="1">
        <v>45393</v>
      </c>
      <c r="D536">
        <v>58</v>
      </c>
      <c r="E536" t="s">
        <v>169</v>
      </c>
      <c r="F536" t="s">
        <v>62</v>
      </c>
      <c r="G536" t="s">
        <v>16</v>
      </c>
      <c r="H536">
        <v>22</v>
      </c>
      <c r="I536" s="5">
        <v>137631</v>
      </c>
      <c r="J536" t="str" cm="1">
        <f t="array" ref="J53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6">
        <v>797</v>
      </c>
      <c r="L536" t="s">
        <v>27</v>
      </c>
      <c r="M536">
        <v>1</v>
      </c>
      <c r="N536">
        <v>933</v>
      </c>
      <c r="O536" t="str" cm="1">
        <f t="array" ref="O53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36" t="s">
        <v>23</v>
      </c>
      <c r="Q536" s="5">
        <v>33700</v>
      </c>
      <c r="R536">
        <v>48</v>
      </c>
      <c r="S536">
        <v>9.89</v>
      </c>
      <c r="T536">
        <v>852.94</v>
      </c>
      <c r="U536">
        <v>15.6</v>
      </c>
      <c r="V536" t="str" cm="1">
        <f t="array" ref="V53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36" t="s">
        <v>41</v>
      </c>
      <c r="X536">
        <v>0</v>
      </c>
      <c r="Y536">
        <v>0</v>
      </c>
      <c r="Z536" s="5">
        <f>IF(Merge1[[#This Row],[loan_applications.defaulted]]=0,Merge1[[#This Row],[loan_applications.loan_amount]]*(Merge1[[#This Row],[loan_applications.interest_rate]]/100)*(Merge1[[#This Row],[loan_applications.term_months]]/12),0)</f>
        <v>13331.72</v>
      </c>
      <c r="AA536" s="5">
        <f>IF(Merge1[[#This Row],[loan_applications.defaulted]]=1,Merge1[[#This Row],[loan_applications.loan_amount]],0)</f>
        <v>0</v>
      </c>
    </row>
    <row r="537" spans="1:27" x14ac:dyDescent="0.35">
      <c r="A537" t="s">
        <v>1053</v>
      </c>
      <c r="B537" t="s">
        <v>1054</v>
      </c>
      <c r="C537" s="1">
        <v>45394</v>
      </c>
      <c r="D537">
        <v>45</v>
      </c>
      <c r="E537" t="s">
        <v>95</v>
      </c>
      <c r="F537" t="s">
        <v>68</v>
      </c>
      <c r="G537" t="s">
        <v>16</v>
      </c>
      <c r="H537">
        <v>12</v>
      </c>
      <c r="I537" s="5">
        <v>53326</v>
      </c>
      <c r="J537" t="str" cm="1">
        <f t="array" ref="J53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7">
        <v>714</v>
      </c>
      <c r="L537" t="s">
        <v>34</v>
      </c>
      <c r="M537">
        <v>3</v>
      </c>
      <c r="N537">
        <v>310</v>
      </c>
      <c r="O537" t="str" cm="1">
        <f t="array" ref="O53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37" t="s">
        <v>71</v>
      </c>
      <c r="Q537" s="5">
        <v>7000</v>
      </c>
      <c r="R537">
        <v>60</v>
      </c>
      <c r="S537">
        <v>12.74</v>
      </c>
      <c r="T537">
        <v>158.34</v>
      </c>
      <c r="U537">
        <v>10.5</v>
      </c>
      <c r="V537" t="str" cm="1">
        <f t="array" ref="V53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37" t="s">
        <v>21</v>
      </c>
      <c r="X537">
        <v>0</v>
      </c>
      <c r="Y537">
        <v>0</v>
      </c>
      <c r="Z537" s="5">
        <f>IF(Merge1[[#This Row],[loan_applications.defaulted]]=0,Merge1[[#This Row],[loan_applications.loan_amount]]*(Merge1[[#This Row],[loan_applications.interest_rate]]/100)*(Merge1[[#This Row],[loan_applications.term_months]]/12),0)</f>
        <v>4459</v>
      </c>
      <c r="AA537" s="5">
        <f>IF(Merge1[[#This Row],[loan_applications.defaulted]]=1,Merge1[[#This Row],[loan_applications.loan_amount]],0)</f>
        <v>0</v>
      </c>
    </row>
    <row r="538" spans="1:27" x14ac:dyDescent="0.35">
      <c r="A538" t="s">
        <v>1055</v>
      </c>
      <c r="B538" t="s">
        <v>1056</v>
      </c>
      <c r="C538" s="1">
        <v>45492</v>
      </c>
      <c r="D538">
        <v>63</v>
      </c>
      <c r="E538" t="s">
        <v>157</v>
      </c>
      <c r="F538" t="s">
        <v>68</v>
      </c>
      <c r="G538" t="s">
        <v>16</v>
      </c>
      <c r="H538">
        <v>16</v>
      </c>
      <c r="I538" s="5">
        <v>53487</v>
      </c>
      <c r="J538" t="str" cm="1">
        <f t="array" ref="J53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8">
        <v>670</v>
      </c>
      <c r="L538" t="s">
        <v>34</v>
      </c>
      <c r="M538">
        <v>0</v>
      </c>
      <c r="N538">
        <v>1679</v>
      </c>
      <c r="O538" t="str" cm="1">
        <f t="array" ref="O53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38" t="s">
        <v>23</v>
      </c>
      <c r="Q538" s="5">
        <v>23500</v>
      </c>
      <c r="R538">
        <v>60</v>
      </c>
      <c r="S538">
        <v>10.74</v>
      </c>
      <c r="T538">
        <v>507.91</v>
      </c>
      <c r="U538">
        <v>49.1</v>
      </c>
      <c r="V538" t="str" cm="1">
        <f t="array" ref="V53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38" t="s">
        <v>91</v>
      </c>
      <c r="X538">
        <v>30</v>
      </c>
      <c r="Y538">
        <v>0</v>
      </c>
      <c r="Z538" s="5">
        <f>IF(Merge1[[#This Row],[loan_applications.defaulted]]=0,Merge1[[#This Row],[loan_applications.loan_amount]]*(Merge1[[#This Row],[loan_applications.interest_rate]]/100)*(Merge1[[#This Row],[loan_applications.term_months]]/12),0)</f>
        <v>12619.5</v>
      </c>
      <c r="AA538" s="5">
        <f>IF(Merge1[[#This Row],[loan_applications.defaulted]]=1,Merge1[[#This Row],[loan_applications.loan_amount]],0)</f>
        <v>0</v>
      </c>
    </row>
    <row r="539" spans="1:27" x14ac:dyDescent="0.35">
      <c r="A539" t="s">
        <v>1057</v>
      </c>
      <c r="B539" t="s">
        <v>1058</v>
      </c>
      <c r="C539" s="1">
        <v>45675</v>
      </c>
      <c r="D539">
        <v>45</v>
      </c>
      <c r="E539" t="s">
        <v>51</v>
      </c>
      <c r="F539" t="s">
        <v>32</v>
      </c>
      <c r="G539" t="s">
        <v>33</v>
      </c>
      <c r="H539">
        <v>12</v>
      </c>
      <c r="I539" s="5">
        <v>45566</v>
      </c>
      <c r="J539" t="str" cm="1">
        <f t="array" ref="J53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39">
        <v>658</v>
      </c>
      <c r="L539" t="s">
        <v>17</v>
      </c>
      <c r="M539">
        <v>1</v>
      </c>
      <c r="N539">
        <v>859</v>
      </c>
      <c r="O539" t="str" cm="1">
        <f t="array" ref="O53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39" t="s">
        <v>20</v>
      </c>
      <c r="Q539" s="5">
        <v>30100</v>
      </c>
      <c r="R539">
        <v>48</v>
      </c>
      <c r="S539">
        <v>9.07</v>
      </c>
      <c r="T539">
        <v>750.04</v>
      </c>
      <c r="U539">
        <v>42.4</v>
      </c>
      <c r="V539" t="str" cm="1">
        <f t="array" ref="V53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39" t="s">
        <v>41</v>
      </c>
      <c r="X539">
        <v>0</v>
      </c>
      <c r="Y539">
        <v>0</v>
      </c>
      <c r="Z539" s="5">
        <f>IF(Merge1[[#This Row],[loan_applications.defaulted]]=0,Merge1[[#This Row],[loan_applications.loan_amount]]*(Merge1[[#This Row],[loan_applications.interest_rate]]/100)*(Merge1[[#This Row],[loan_applications.term_months]]/12),0)</f>
        <v>10920.28</v>
      </c>
      <c r="AA539" s="5">
        <f>IF(Merge1[[#This Row],[loan_applications.defaulted]]=1,Merge1[[#This Row],[loan_applications.loan_amount]],0)</f>
        <v>0</v>
      </c>
    </row>
    <row r="540" spans="1:27" x14ac:dyDescent="0.35">
      <c r="A540" t="s">
        <v>1059</v>
      </c>
      <c r="B540" t="s">
        <v>1060</v>
      </c>
      <c r="C540" s="1">
        <v>45296</v>
      </c>
      <c r="D540">
        <v>44</v>
      </c>
      <c r="E540" t="s">
        <v>51</v>
      </c>
      <c r="F540" t="s">
        <v>32</v>
      </c>
      <c r="G540" t="s">
        <v>26</v>
      </c>
      <c r="H540">
        <v>4</v>
      </c>
      <c r="I540" s="5">
        <v>79148</v>
      </c>
      <c r="J540" t="str" cm="1">
        <f t="array" ref="J540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40">
        <v>791</v>
      </c>
      <c r="L540" t="s">
        <v>34</v>
      </c>
      <c r="M540">
        <v>0</v>
      </c>
      <c r="N540">
        <v>2451</v>
      </c>
      <c r="O540" t="str" cm="1">
        <f t="array" ref="O54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40" t="s">
        <v>37</v>
      </c>
      <c r="Q540" s="5">
        <v>40200</v>
      </c>
      <c r="R540">
        <v>48</v>
      </c>
      <c r="S540">
        <v>10.18</v>
      </c>
      <c r="T540">
        <v>1023.05</v>
      </c>
      <c r="U540">
        <v>52.7</v>
      </c>
      <c r="V540" t="str" cm="1">
        <f t="array" ref="V54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40" t="s">
        <v>41</v>
      </c>
      <c r="X540">
        <v>0</v>
      </c>
      <c r="Y540">
        <v>0</v>
      </c>
      <c r="Z540" s="5">
        <f>IF(Merge1[[#This Row],[loan_applications.defaulted]]=0,Merge1[[#This Row],[loan_applications.loan_amount]]*(Merge1[[#This Row],[loan_applications.interest_rate]]/100)*(Merge1[[#This Row],[loan_applications.term_months]]/12),0)</f>
        <v>16369.44</v>
      </c>
      <c r="AA540" s="5">
        <f>IF(Merge1[[#This Row],[loan_applications.defaulted]]=1,Merge1[[#This Row],[loan_applications.loan_amount]],0)</f>
        <v>0</v>
      </c>
    </row>
    <row r="541" spans="1:27" x14ac:dyDescent="0.35">
      <c r="A541" t="s">
        <v>1061</v>
      </c>
      <c r="B541" t="s">
        <v>1062</v>
      </c>
      <c r="C541" s="1">
        <v>45466</v>
      </c>
      <c r="D541">
        <v>35</v>
      </c>
      <c r="E541" t="s">
        <v>118</v>
      </c>
      <c r="F541" t="s">
        <v>15</v>
      </c>
      <c r="G541" t="s">
        <v>26</v>
      </c>
      <c r="H541">
        <v>7</v>
      </c>
      <c r="I541" s="5">
        <v>43591</v>
      </c>
      <c r="J541" t="str" cm="1">
        <f t="array" ref="J541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41">
        <v>590</v>
      </c>
      <c r="L541" t="s">
        <v>34</v>
      </c>
      <c r="M541">
        <v>2</v>
      </c>
      <c r="N541">
        <v>1056</v>
      </c>
      <c r="O541" t="str" cm="1">
        <f t="array" ref="O54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41" t="s">
        <v>45</v>
      </c>
      <c r="Q541" s="5">
        <v>26900</v>
      </c>
      <c r="R541">
        <v>60</v>
      </c>
      <c r="S541">
        <v>11.75</v>
      </c>
      <c r="T541">
        <v>594.98</v>
      </c>
      <c r="U541">
        <v>45.4</v>
      </c>
      <c r="V541" t="str" cm="1">
        <f t="array" ref="V54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41" t="s">
        <v>91</v>
      </c>
      <c r="X541">
        <v>30</v>
      </c>
      <c r="Y541">
        <v>0</v>
      </c>
      <c r="Z541" s="5">
        <f>IF(Merge1[[#This Row],[loan_applications.defaulted]]=0,Merge1[[#This Row],[loan_applications.loan_amount]]*(Merge1[[#This Row],[loan_applications.interest_rate]]/100)*(Merge1[[#This Row],[loan_applications.term_months]]/12),0)</f>
        <v>15803.75</v>
      </c>
      <c r="AA541" s="5">
        <f>IF(Merge1[[#This Row],[loan_applications.defaulted]]=1,Merge1[[#This Row],[loan_applications.loan_amount]],0)</f>
        <v>0</v>
      </c>
    </row>
    <row r="542" spans="1:27" x14ac:dyDescent="0.35">
      <c r="A542" t="s">
        <v>1063</v>
      </c>
      <c r="B542" t="s">
        <v>1064</v>
      </c>
      <c r="C542" s="1">
        <v>45731</v>
      </c>
      <c r="D542">
        <v>52</v>
      </c>
      <c r="E542" t="s">
        <v>193</v>
      </c>
      <c r="F542" t="s">
        <v>32</v>
      </c>
      <c r="G542" t="s">
        <v>63</v>
      </c>
      <c r="H542">
        <v>1</v>
      </c>
      <c r="I542" s="5">
        <v>45042</v>
      </c>
      <c r="J542" t="str" cm="1">
        <f t="array" ref="J54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42">
        <v>740</v>
      </c>
      <c r="L542" t="s">
        <v>27</v>
      </c>
      <c r="M542">
        <v>2</v>
      </c>
      <c r="N542">
        <v>490</v>
      </c>
      <c r="O542" t="str" cm="1">
        <f t="array" ref="O54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42" t="s">
        <v>56</v>
      </c>
      <c r="Q542" s="5">
        <v>19600</v>
      </c>
      <c r="R542">
        <v>12</v>
      </c>
      <c r="S542">
        <v>11.67</v>
      </c>
      <c r="T542">
        <v>1738.41</v>
      </c>
      <c r="U542">
        <v>59.4</v>
      </c>
      <c r="V542" t="str" cm="1">
        <f t="array" ref="V54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42" t="s">
        <v>24</v>
      </c>
      <c r="X542">
        <v>129</v>
      </c>
      <c r="Y542">
        <v>1</v>
      </c>
      <c r="Z54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42" s="5">
        <f>IF(Merge1[[#This Row],[loan_applications.defaulted]]=1,Merge1[[#This Row],[loan_applications.loan_amount]],0)</f>
        <v>19600</v>
      </c>
    </row>
    <row r="543" spans="1:27" x14ac:dyDescent="0.35">
      <c r="A543" t="s">
        <v>1065</v>
      </c>
      <c r="B543" t="s">
        <v>1064</v>
      </c>
      <c r="C543" s="1">
        <v>45393</v>
      </c>
      <c r="D543">
        <v>52</v>
      </c>
      <c r="E543" t="s">
        <v>193</v>
      </c>
      <c r="F543" t="s">
        <v>32</v>
      </c>
      <c r="G543" t="s">
        <v>63</v>
      </c>
      <c r="H543">
        <v>1</v>
      </c>
      <c r="I543" s="5">
        <v>45042</v>
      </c>
      <c r="J543" t="str" cm="1">
        <f t="array" ref="J54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43">
        <v>740</v>
      </c>
      <c r="L543" t="s">
        <v>27</v>
      </c>
      <c r="M543">
        <v>2</v>
      </c>
      <c r="N543">
        <v>490</v>
      </c>
      <c r="O543" t="str" cm="1">
        <f t="array" ref="O54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43" t="s">
        <v>50</v>
      </c>
      <c r="Q543" s="5">
        <v>12600</v>
      </c>
      <c r="R543">
        <v>24</v>
      </c>
      <c r="S543">
        <v>9.85</v>
      </c>
      <c r="T543">
        <v>580.54999999999995</v>
      </c>
      <c r="U543">
        <v>28.5</v>
      </c>
      <c r="V543" t="str" cm="1">
        <f t="array" ref="V54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43" t="s">
        <v>41</v>
      </c>
      <c r="X543">
        <v>0</v>
      </c>
      <c r="Y543">
        <v>0</v>
      </c>
      <c r="Z543" s="5">
        <f>IF(Merge1[[#This Row],[loan_applications.defaulted]]=0,Merge1[[#This Row],[loan_applications.loan_amount]]*(Merge1[[#This Row],[loan_applications.interest_rate]]/100)*(Merge1[[#This Row],[loan_applications.term_months]]/12),0)</f>
        <v>2482.1999999999998</v>
      </c>
      <c r="AA543" s="5">
        <f>IF(Merge1[[#This Row],[loan_applications.defaulted]]=1,Merge1[[#This Row],[loan_applications.loan_amount]],0)</f>
        <v>0</v>
      </c>
    </row>
    <row r="544" spans="1:27" x14ac:dyDescent="0.35">
      <c r="A544" t="s">
        <v>1066</v>
      </c>
      <c r="B544" t="s">
        <v>1067</v>
      </c>
      <c r="C544" s="1">
        <v>45454</v>
      </c>
      <c r="D544">
        <v>62</v>
      </c>
      <c r="E544" t="s">
        <v>83</v>
      </c>
      <c r="F544" t="s">
        <v>32</v>
      </c>
      <c r="G544" t="s">
        <v>33</v>
      </c>
      <c r="H544">
        <v>16</v>
      </c>
      <c r="I544" s="5">
        <v>49969</v>
      </c>
      <c r="J544" t="str" cm="1">
        <f t="array" ref="J54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44">
        <v>615</v>
      </c>
      <c r="L544" t="s">
        <v>17</v>
      </c>
      <c r="M544">
        <v>4</v>
      </c>
      <c r="N544">
        <v>1456</v>
      </c>
      <c r="O544" t="str" cm="1">
        <f t="array" ref="O54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44" t="s">
        <v>23</v>
      </c>
      <c r="Q544" s="5">
        <v>32100</v>
      </c>
      <c r="R544">
        <v>36</v>
      </c>
      <c r="S544">
        <v>13.94</v>
      </c>
      <c r="T544">
        <v>1096.17</v>
      </c>
      <c r="U544">
        <v>61.3</v>
      </c>
      <c r="V544" t="str" cm="1">
        <f t="array" ref="V54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44" t="s">
        <v>41</v>
      </c>
      <c r="X544">
        <v>0</v>
      </c>
      <c r="Y544">
        <v>0</v>
      </c>
      <c r="Z544" s="5">
        <f>IF(Merge1[[#This Row],[loan_applications.defaulted]]=0,Merge1[[#This Row],[loan_applications.loan_amount]]*(Merge1[[#This Row],[loan_applications.interest_rate]]/100)*(Merge1[[#This Row],[loan_applications.term_months]]/12),0)</f>
        <v>13424.22</v>
      </c>
      <c r="AA544" s="5">
        <f>IF(Merge1[[#This Row],[loan_applications.defaulted]]=1,Merge1[[#This Row],[loan_applications.loan_amount]],0)</f>
        <v>0</v>
      </c>
    </row>
    <row r="545" spans="1:27" x14ac:dyDescent="0.35">
      <c r="A545" t="s">
        <v>1068</v>
      </c>
      <c r="B545" t="s">
        <v>1069</v>
      </c>
      <c r="C545" s="1">
        <v>45372</v>
      </c>
      <c r="D545">
        <v>58</v>
      </c>
      <c r="E545" t="s">
        <v>252</v>
      </c>
      <c r="F545" t="s">
        <v>32</v>
      </c>
      <c r="G545" t="s">
        <v>33</v>
      </c>
      <c r="H545">
        <v>5</v>
      </c>
      <c r="I545" s="5">
        <v>87044</v>
      </c>
      <c r="J545" t="str" cm="1">
        <f t="array" ref="J545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45">
        <v>685</v>
      </c>
      <c r="L545" t="s">
        <v>27</v>
      </c>
      <c r="M545">
        <v>4</v>
      </c>
      <c r="N545">
        <v>3508</v>
      </c>
      <c r="O545" t="str" cm="1">
        <f t="array" ref="O54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45" t="s">
        <v>71</v>
      </c>
      <c r="Q545" s="5">
        <v>26800</v>
      </c>
      <c r="R545">
        <v>60</v>
      </c>
      <c r="S545">
        <v>13.19</v>
      </c>
      <c r="T545">
        <v>612.39</v>
      </c>
      <c r="U545">
        <v>56.8</v>
      </c>
      <c r="V545" t="str" cm="1">
        <f t="array" ref="V54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45" t="s">
        <v>21</v>
      </c>
      <c r="X545">
        <v>0</v>
      </c>
      <c r="Y545">
        <v>0</v>
      </c>
      <c r="Z545" s="5">
        <f>IF(Merge1[[#This Row],[loan_applications.defaulted]]=0,Merge1[[#This Row],[loan_applications.loan_amount]]*(Merge1[[#This Row],[loan_applications.interest_rate]]/100)*(Merge1[[#This Row],[loan_applications.term_months]]/12),0)</f>
        <v>17674.599999999999</v>
      </c>
      <c r="AA545" s="5">
        <f>IF(Merge1[[#This Row],[loan_applications.defaulted]]=1,Merge1[[#This Row],[loan_applications.loan_amount]],0)</f>
        <v>0</v>
      </c>
    </row>
    <row r="546" spans="1:27" x14ac:dyDescent="0.35">
      <c r="A546" t="s">
        <v>1070</v>
      </c>
      <c r="B546" t="s">
        <v>1071</v>
      </c>
      <c r="C546" s="1">
        <v>45543</v>
      </c>
      <c r="D546">
        <v>32</v>
      </c>
      <c r="E546" t="s">
        <v>125</v>
      </c>
      <c r="F546" t="s">
        <v>68</v>
      </c>
      <c r="G546" t="s">
        <v>26</v>
      </c>
      <c r="H546">
        <v>12</v>
      </c>
      <c r="I546" s="5">
        <v>35993</v>
      </c>
      <c r="J546" t="str" cm="1">
        <f t="array" ref="J54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46">
        <v>823</v>
      </c>
      <c r="L546" t="s">
        <v>27</v>
      </c>
      <c r="M546">
        <v>1</v>
      </c>
      <c r="N546">
        <v>401</v>
      </c>
      <c r="O546" t="str" cm="1">
        <f t="array" ref="O54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46" t="s">
        <v>45</v>
      </c>
      <c r="Q546" s="5">
        <v>13000</v>
      </c>
      <c r="R546">
        <v>24</v>
      </c>
      <c r="S546">
        <v>7.77</v>
      </c>
      <c r="T546">
        <v>586.59</v>
      </c>
      <c r="U546">
        <v>32.9</v>
      </c>
      <c r="V546" t="str" cm="1">
        <f t="array" ref="V54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46" t="s">
        <v>41</v>
      </c>
      <c r="X546">
        <v>0</v>
      </c>
      <c r="Y546">
        <v>0</v>
      </c>
      <c r="Z546" s="5">
        <f>IF(Merge1[[#This Row],[loan_applications.defaulted]]=0,Merge1[[#This Row],[loan_applications.loan_amount]]*(Merge1[[#This Row],[loan_applications.interest_rate]]/100)*(Merge1[[#This Row],[loan_applications.term_months]]/12),0)</f>
        <v>2020.1999999999998</v>
      </c>
      <c r="AA546" s="5">
        <f>IF(Merge1[[#This Row],[loan_applications.defaulted]]=1,Merge1[[#This Row],[loan_applications.loan_amount]],0)</f>
        <v>0</v>
      </c>
    </row>
    <row r="547" spans="1:27" x14ac:dyDescent="0.35">
      <c r="A547" t="s">
        <v>1072</v>
      </c>
      <c r="B547" t="s">
        <v>1071</v>
      </c>
      <c r="C547" s="1">
        <v>45397</v>
      </c>
      <c r="D547">
        <v>32</v>
      </c>
      <c r="E547" t="s">
        <v>125</v>
      </c>
      <c r="F547" t="s">
        <v>68</v>
      </c>
      <c r="G547" t="s">
        <v>26</v>
      </c>
      <c r="H547">
        <v>12</v>
      </c>
      <c r="I547" s="5">
        <v>35993</v>
      </c>
      <c r="J547" t="str" cm="1">
        <f t="array" ref="J54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47">
        <v>823</v>
      </c>
      <c r="L547" t="s">
        <v>27</v>
      </c>
      <c r="M547">
        <v>1</v>
      </c>
      <c r="N547">
        <v>401</v>
      </c>
      <c r="O547" t="str" cm="1">
        <f t="array" ref="O54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47" t="s">
        <v>37</v>
      </c>
      <c r="Q547" s="5">
        <v>12200</v>
      </c>
      <c r="R547">
        <v>24</v>
      </c>
      <c r="S547">
        <v>9.42</v>
      </c>
      <c r="T547">
        <v>559.71</v>
      </c>
      <c r="U547">
        <v>32</v>
      </c>
      <c r="V547" t="str" cm="1">
        <f t="array" ref="V54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47" t="s">
        <v>91</v>
      </c>
      <c r="X547">
        <v>15</v>
      </c>
      <c r="Y547">
        <v>0</v>
      </c>
      <c r="Z547" s="5">
        <f>IF(Merge1[[#This Row],[loan_applications.defaulted]]=0,Merge1[[#This Row],[loan_applications.loan_amount]]*(Merge1[[#This Row],[loan_applications.interest_rate]]/100)*(Merge1[[#This Row],[loan_applications.term_months]]/12),0)</f>
        <v>2298.48</v>
      </c>
      <c r="AA547" s="5">
        <f>IF(Merge1[[#This Row],[loan_applications.defaulted]]=1,Merge1[[#This Row],[loan_applications.loan_amount]],0)</f>
        <v>0</v>
      </c>
    </row>
    <row r="548" spans="1:27" x14ac:dyDescent="0.35">
      <c r="A548" t="s">
        <v>1073</v>
      </c>
      <c r="B548" t="s">
        <v>1074</v>
      </c>
      <c r="C548" s="1">
        <v>45504</v>
      </c>
      <c r="D548">
        <v>65</v>
      </c>
      <c r="E548" t="s">
        <v>74</v>
      </c>
      <c r="F548" t="s">
        <v>68</v>
      </c>
      <c r="G548" t="s">
        <v>26</v>
      </c>
      <c r="H548">
        <v>24</v>
      </c>
      <c r="I548" s="5">
        <v>56685</v>
      </c>
      <c r="J548" t="str" cm="1">
        <f t="array" ref="J54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48">
        <v>647</v>
      </c>
      <c r="L548" t="s">
        <v>34</v>
      </c>
      <c r="M548">
        <v>0</v>
      </c>
      <c r="N548">
        <v>1470</v>
      </c>
      <c r="O548" t="str" cm="1">
        <f t="array" ref="O54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48" t="s">
        <v>37</v>
      </c>
      <c r="Q548" s="5">
        <v>6500</v>
      </c>
      <c r="R548">
        <v>48</v>
      </c>
      <c r="S548">
        <v>13.44</v>
      </c>
      <c r="T548">
        <v>175.8</v>
      </c>
      <c r="U548">
        <v>34.799999999999997</v>
      </c>
      <c r="V548" t="str" cm="1">
        <f t="array" ref="V54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48" t="s">
        <v>41</v>
      </c>
      <c r="X548">
        <v>0</v>
      </c>
      <c r="Y548">
        <v>0</v>
      </c>
      <c r="Z548" s="5">
        <f>IF(Merge1[[#This Row],[loan_applications.defaulted]]=0,Merge1[[#This Row],[loan_applications.loan_amount]]*(Merge1[[#This Row],[loan_applications.interest_rate]]/100)*(Merge1[[#This Row],[loan_applications.term_months]]/12),0)</f>
        <v>3494.3999999999996</v>
      </c>
      <c r="AA548" s="5">
        <f>IF(Merge1[[#This Row],[loan_applications.defaulted]]=1,Merge1[[#This Row],[loan_applications.loan_amount]],0)</f>
        <v>0</v>
      </c>
    </row>
    <row r="549" spans="1:27" x14ac:dyDescent="0.35">
      <c r="A549" t="s">
        <v>1075</v>
      </c>
      <c r="B549" t="s">
        <v>1076</v>
      </c>
      <c r="C549" s="1">
        <v>45753</v>
      </c>
      <c r="D549">
        <v>54</v>
      </c>
      <c r="E549" t="s">
        <v>252</v>
      </c>
      <c r="F549" t="s">
        <v>32</v>
      </c>
      <c r="G549" t="s">
        <v>33</v>
      </c>
      <c r="H549">
        <v>30</v>
      </c>
      <c r="I549" s="5">
        <v>79231</v>
      </c>
      <c r="J549" t="str" cm="1">
        <f t="array" ref="J54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49">
        <v>625</v>
      </c>
      <c r="L549" t="s">
        <v>17</v>
      </c>
      <c r="M549">
        <v>0</v>
      </c>
      <c r="N549">
        <v>2917</v>
      </c>
      <c r="O549" t="str" cm="1">
        <f t="array" ref="O54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49" t="s">
        <v>54</v>
      </c>
      <c r="Q549" s="5">
        <v>19500</v>
      </c>
      <c r="R549">
        <v>36</v>
      </c>
      <c r="S549">
        <v>12.75</v>
      </c>
      <c r="T549">
        <v>654.69000000000005</v>
      </c>
      <c r="U549">
        <v>54.1</v>
      </c>
      <c r="V549" t="str" cm="1">
        <f t="array" ref="V54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49" t="s">
        <v>41</v>
      </c>
      <c r="X549">
        <v>0</v>
      </c>
      <c r="Y549">
        <v>0</v>
      </c>
      <c r="Z549" s="5">
        <f>IF(Merge1[[#This Row],[loan_applications.defaulted]]=0,Merge1[[#This Row],[loan_applications.loan_amount]]*(Merge1[[#This Row],[loan_applications.interest_rate]]/100)*(Merge1[[#This Row],[loan_applications.term_months]]/12),0)</f>
        <v>7458.75</v>
      </c>
      <c r="AA549" s="5">
        <f>IF(Merge1[[#This Row],[loan_applications.defaulted]]=1,Merge1[[#This Row],[loan_applications.loan_amount]],0)</f>
        <v>0</v>
      </c>
    </row>
    <row r="550" spans="1:27" x14ac:dyDescent="0.35">
      <c r="A550" t="s">
        <v>1077</v>
      </c>
      <c r="B550" t="s">
        <v>1078</v>
      </c>
      <c r="C550" s="1">
        <v>45647</v>
      </c>
      <c r="D550">
        <v>54</v>
      </c>
      <c r="E550" t="s">
        <v>14</v>
      </c>
      <c r="F550" t="s">
        <v>62</v>
      </c>
      <c r="G550" t="s">
        <v>26</v>
      </c>
      <c r="H550">
        <v>34</v>
      </c>
      <c r="I550" s="5">
        <v>111175</v>
      </c>
      <c r="J550" t="str" cm="1">
        <f t="array" ref="J55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50">
        <v>850</v>
      </c>
      <c r="L550" t="s">
        <v>17</v>
      </c>
      <c r="M550">
        <v>3</v>
      </c>
      <c r="N550">
        <v>3606</v>
      </c>
      <c r="O550" t="str" cm="1">
        <f t="array" ref="O55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50" t="s">
        <v>71</v>
      </c>
      <c r="Q550" s="5">
        <v>43000</v>
      </c>
      <c r="R550">
        <v>12</v>
      </c>
      <c r="S550">
        <v>10.71</v>
      </c>
      <c r="T550">
        <v>3794.6</v>
      </c>
      <c r="U550">
        <v>79.900000000000006</v>
      </c>
      <c r="V550" t="str" cm="1">
        <f t="array" ref="V55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50" t="s">
        <v>41</v>
      </c>
      <c r="X550">
        <v>0</v>
      </c>
      <c r="Y550">
        <v>0</v>
      </c>
      <c r="Z550" s="5">
        <f>IF(Merge1[[#This Row],[loan_applications.defaulted]]=0,Merge1[[#This Row],[loan_applications.loan_amount]]*(Merge1[[#This Row],[loan_applications.interest_rate]]/100)*(Merge1[[#This Row],[loan_applications.term_months]]/12),0)</f>
        <v>4605.3</v>
      </c>
      <c r="AA550" s="5">
        <f>IF(Merge1[[#This Row],[loan_applications.defaulted]]=1,Merge1[[#This Row],[loan_applications.loan_amount]],0)</f>
        <v>0</v>
      </c>
    </row>
    <row r="551" spans="1:27" x14ac:dyDescent="0.35">
      <c r="A551" t="s">
        <v>1079</v>
      </c>
      <c r="B551" t="s">
        <v>1080</v>
      </c>
      <c r="C551" s="1">
        <v>45822</v>
      </c>
      <c r="D551">
        <v>49</v>
      </c>
      <c r="E551" t="s">
        <v>57</v>
      </c>
      <c r="F551" t="s">
        <v>32</v>
      </c>
      <c r="G551" t="s">
        <v>26</v>
      </c>
      <c r="H551">
        <v>13</v>
      </c>
      <c r="I551" s="5">
        <v>43371</v>
      </c>
      <c r="J551" t="str" cm="1">
        <f t="array" ref="J55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51">
        <v>801</v>
      </c>
      <c r="L551" t="s">
        <v>27</v>
      </c>
      <c r="M551">
        <v>1</v>
      </c>
      <c r="N551">
        <v>1569</v>
      </c>
      <c r="O551" t="str" cm="1">
        <f t="array" ref="O55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51" t="s">
        <v>37</v>
      </c>
      <c r="Q551" s="5">
        <v>11300</v>
      </c>
      <c r="R551">
        <v>12</v>
      </c>
      <c r="S551">
        <v>9.33</v>
      </c>
      <c r="T551">
        <v>989.93</v>
      </c>
      <c r="U551">
        <v>70.8</v>
      </c>
      <c r="V551" t="str" cm="1">
        <f t="array" ref="V55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51" t="s">
        <v>21</v>
      </c>
      <c r="X551">
        <v>0</v>
      </c>
      <c r="Y551">
        <v>0</v>
      </c>
      <c r="Z551" s="5">
        <f>IF(Merge1[[#This Row],[loan_applications.defaulted]]=0,Merge1[[#This Row],[loan_applications.loan_amount]]*(Merge1[[#This Row],[loan_applications.interest_rate]]/100)*(Merge1[[#This Row],[loan_applications.term_months]]/12),0)</f>
        <v>1054.29</v>
      </c>
      <c r="AA551" s="5">
        <f>IF(Merge1[[#This Row],[loan_applications.defaulted]]=1,Merge1[[#This Row],[loan_applications.loan_amount]],0)</f>
        <v>0</v>
      </c>
    </row>
    <row r="552" spans="1:27" x14ac:dyDescent="0.35">
      <c r="A552" t="s">
        <v>1081</v>
      </c>
      <c r="B552" t="s">
        <v>1082</v>
      </c>
      <c r="C552" s="1">
        <v>45421</v>
      </c>
      <c r="D552">
        <v>44</v>
      </c>
      <c r="E552" t="s">
        <v>31</v>
      </c>
      <c r="F552" t="s">
        <v>32</v>
      </c>
      <c r="G552" t="s">
        <v>16</v>
      </c>
      <c r="H552">
        <v>3</v>
      </c>
      <c r="I552" s="5">
        <v>89186</v>
      </c>
      <c r="J552" t="str" cm="1">
        <f t="array" ref="J55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52">
        <v>834</v>
      </c>
      <c r="L552" t="s">
        <v>34</v>
      </c>
      <c r="M552">
        <v>1</v>
      </c>
      <c r="N552">
        <v>1235</v>
      </c>
      <c r="O552" t="str" cm="1">
        <f t="array" ref="O55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52" t="s">
        <v>56</v>
      </c>
      <c r="Q552" s="5">
        <v>5900</v>
      </c>
      <c r="R552">
        <v>12</v>
      </c>
      <c r="S552">
        <v>9.74</v>
      </c>
      <c r="T552">
        <v>517.99</v>
      </c>
      <c r="U552">
        <v>23.6</v>
      </c>
      <c r="V552" t="str" cm="1">
        <f t="array" ref="V55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52" t="s">
        <v>21</v>
      </c>
      <c r="X552">
        <v>0</v>
      </c>
      <c r="Y552">
        <v>0</v>
      </c>
      <c r="Z552" s="5">
        <f>IF(Merge1[[#This Row],[loan_applications.defaulted]]=0,Merge1[[#This Row],[loan_applications.loan_amount]]*(Merge1[[#This Row],[loan_applications.interest_rate]]/100)*(Merge1[[#This Row],[loan_applications.term_months]]/12),0)</f>
        <v>574.66</v>
      </c>
      <c r="AA552" s="5">
        <f>IF(Merge1[[#This Row],[loan_applications.defaulted]]=1,Merge1[[#This Row],[loan_applications.loan_amount]],0)</f>
        <v>0</v>
      </c>
    </row>
    <row r="553" spans="1:27" x14ac:dyDescent="0.35">
      <c r="A553" t="s">
        <v>1083</v>
      </c>
      <c r="B553" t="s">
        <v>1084</v>
      </c>
      <c r="C553" s="1">
        <v>45701</v>
      </c>
      <c r="D553">
        <v>27</v>
      </c>
      <c r="E553" t="s">
        <v>57</v>
      </c>
      <c r="F553" t="s">
        <v>68</v>
      </c>
      <c r="G553" t="s">
        <v>33</v>
      </c>
      <c r="H553">
        <v>0</v>
      </c>
      <c r="I553" s="5">
        <v>48279</v>
      </c>
      <c r="J553" t="str" cm="1">
        <f t="array" ref="J553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53">
        <v>626</v>
      </c>
      <c r="L553" t="s">
        <v>17</v>
      </c>
      <c r="M553">
        <v>0</v>
      </c>
      <c r="N553">
        <v>1252</v>
      </c>
      <c r="O553" t="str" cm="1">
        <f t="array" ref="O55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53" t="s">
        <v>30</v>
      </c>
      <c r="Q553" s="5">
        <v>24400</v>
      </c>
      <c r="R553">
        <v>48</v>
      </c>
      <c r="S553">
        <v>11.75</v>
      </c>
      <c r="T553">
        <v>639.54999999999995</v>
      </c>
      <c r="U553">
        <v>47</v>
      </c>
      <c r="V553" t="str" cm="1">
        <f t="array" ref="V55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53" t="s">
        <v>41</v>
      </c>
      <c r="X553">
        <v>0</v>
      </c>
      <c r="Y553">
        <v>0</v>
      </c>
      <c r="Z553" s="5">
        <f>IF(Merge1[[#This Row],[loan_applications.defaulted]]=0,Merge1[[#This Row],[loan_applications.loan_amount]]*(Merge1[[#This Row],[loan_applications.interest_rate]]/100)*(Merge1[[#This Row],[loan_applications.term_months]]/12),0)</f>
        <v>11468</v>
      </c>
      <c r="AA553" s="5">
        <f>IF(Merge1[[#This Row],[loan_applications.defaulted]]=1,Merge1[[#This Row],[loan_applications.loan_amount]],0)</f>
        <v>0</v>
      </c>
    </row>
    <row r="554" spans="1:27" x14ac:dyDescent="0.35">
      <c r="A554" t="s">
        <v>1085</v>
      </c>
      <c r="B554" t="s">
        <v>1086</v>
      </c>
      <c r="C554" s="1">
        <v>45502</v>
      </c>
      <c r="D554">
        <v>55</v>
      </c>
      <c r="E554" t="s">
        <v>193</v>
      </c>
      <c r="F554" t="s">
        <v>15</v>
      </c>
      <c r="G554" t="s">
        <v>16</v>
      </c>
      <c r="H554">
        <v>26</v>
      </c>
      <c r="I554" s="5">
        <v>46609</v>
      </c>
      <c r="J554" t="str" cm="1">
        <f t="array" ref="J55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54">
        <v>691</v>
      </c>
      <c r="L554" t="s">
        <v>34</v>
      </c>
      <c r="M554">
        <v>1</v>
      </c>
      <c r="N554">
        <v>1331</v>
      </c>
      <c r="O554" t="str" cm="1">
        <f t="array" ref="O55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54" t="s">
        <v>37</v>
      </c>
      <c r="Q554" s="5">
        <v>6900</v>
      </c>
      <c r="R554">
        <v>60</v>
      </c>
      <c r="S554">
        <v>10.039999999999999</v>
      </c>
      <c r="T554">
        <v>146.74</v>
      </c>
      <c r="U554">
        <v>38</v>
      </c>
      <c r="V554" t="str" cm="1">
        <f t="array" ref="V55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54" t="s">
        <v>21</v>
      </c>
      <c r="X554">
        <v>0</v>
      </c>
      <c r="Y554">
        <v>0</v>
      </c>
      <c r="Z554" s="5">
        <f>IF(Merge1[[#This Row],[loan_applications.defaulted]]=0,Merge1[[#This Row],[loan_applications.loan_amount]]*(Merge1[[#This Row],[loan_applications.interest_rate]]/100)*(Merge1[[#This Row],[loan_applications.term_months]]/12),0)</f>
        <v>3463.7999999999993</v>
      </c>
      <c r="AA554" s="5">
        <f>IF(Merge1[[#This Row],[loan_applications.defaulted]]=1,Merge1[[#This Row],[loan_applications.loan_amount]],0)</f>
        <v>0</v>
      </c>
    </row>
    <row r="555" spans="1:27" x14ac:dyDescent="0.35">
      <c r="A555" t="s">
        <v>1087</v>
      </c>
      <c r="B555" t="s">
        <v>1086</v>
      </c>
      <c r="C555" s="1">
        <v>45684</v>
      </c>
      <c r="D555">
        <v>55</v>
      </c>
      <c r="E555" t="s">
        <v>193</v>
      </c>
      <c r="F555" t="s">
        <v>15</v>
      </c>
      <c r="G555" t="s">
        <v>16</v>
      </c>
      <c r="H555">
        <v>26</v>
      </c>
      <c r="I555" s="5">
        <v>46609</v>
      </c>
      <c r="J555" t="str" cm="1">
        <f t="array" ref="J55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55">
        <v>691</v>
      </c>
      <c r="L555" t="s">
        <v>34</v>
      </c>
      <c r="M555">
        <v>1</v>
      </c>
      <c r="N555">
        <v>1331</v>
      </c>
      <c r="O555" t="str" cm="1">
        <f t="array" ref="O55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55" t="s">
        <v>23</v>
      </c>
      <c r="Q555" s="5">
        <v>14300</v>
      </c>
      <c r="R555">
        <v>36</v>
      </c>
      <c r="S555">
        <v>11.6</v>
      </c>
      <c r="T555">
        <v>472.24</v>
      </c>
      <c r="U555">
        <v>46.4</v>
      </c>
      <c r="V555" t="str" cm="1">
        <f t="array" ref="V55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55" t="s">
        <v>41</v>
      </c>
      <c r="X555">
        <v>0</v>
      </c>
      <c r="Y555">
        <v>0</v>
      </c>
      <c r="Z555" s="5">
        <f>IF(Merge1[[#This Row],[loan_applications.defaulted]]=0,Merge1[[#This Row],[loan_applications.loan_amount]]*(Merge1[[#This Row],[loan_applications.interest_rate]]/100)*(Merge1[[#This Row],[loan_applications.term_months]]/12),0)</f>
        <v>4976.3999999999996</v>
      </c>
      <c r="AA555" s="5">
        <f>IF(Merge1[[#This Row],[loan_applications.defaulted]]=1,Merge1[[#This Row],[loan_applications.loan_amount]],0)</f>
        <v>0</v>
      </c>
    </row>
    <row r="556" spans="1:27" x14ac:dyDescent="0.35">
      <c r="A556" t="s">
        <v>1088</v>
      </c>
      <c r="B556" t="s">
        <v>1089</v>
      </c>
      <c r="C556" s="1">
        <v>45711</v>
      </c>
      <c r="D556">
        <v>38</v>
      </c>
      <c r="E556" t="s">
        <v>92</v>
      </c>
      <c r="F556" t="s">
        <v>62</v>
      </c>
      <c r="G556" t="s">
        <v>26</v>
      </c>
      <c r="H556">
        <v>12</v>
      </c>
      <c r="I556" s="5">
        <v>85972</v>
      </c>
      <c r="J556" t="str" cm="1">
        <f t="array" ref="J556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56">
        <v>681</v>
      </c>
      <c r="L556" t="s">
        <v>17</v>
      </c>
      <c r="M556">
        <v>2</v>
      </c>
      <c r="N556">
        <v>2355</v>
      </c>
      <c r="O556" t="str" cm="1">
        <f t="array" ref="O55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56" t="s">
        <v>54</v>
      </c>
      <c r="Q556" s="5">
        <v>44700</v>
      </c>
      <c r="R556">
        <v>60</v>
      </c>
      <c r="S556">
        <v>9.92</v>
      </c>
      <c r="T556">
        <v>947.98</v>
      </c>
      <c r="U556">
        <v>46.1</v>
      </c>
      <c r="V556" t="str" cm="1">
        <f t="array" ref="V55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56" t="s">
        <v>91</v>
      </c>
      <c r="X556">
        <v>0</v>
      </c>
      <c r="Y556">
        <v>0</v>
      </c>
      <c r="Z556" s="5">
        <f>IF(Merge1[[#This Row],[loan_applications.defaulted]]=0,Merge1[[#This Row],[loan_applications.loan_amount]]*(Merge1[[#This Row],[loan_applications.interest_rate]]/100)*(Merge1[[#This Row],[loan_applications.term_months]]/12),0)</f>
        <v>22171.199999999997</v>
      </c>
      <c r="AA556" s="5">
        <f>IF(Merge1[[#This Row],[loan_applications.defaulted]]=1,Merge1[[#This Row],[loan_applications.loan_amount]],0)</f>
        <v>0</v>
      </c>
    </row>
    <row r="557" spans="1:27" x14ac:dyDescent="0.35">
      <c r="A557" t="s">
        <v>1090</v>
      </c>
      <c r="B557" t="s">
        <v>1091</v>
      </c>
      <c r="C557" s="1">
        <v>45482</v>
      </c>
      <c r="D557">
        <v>33</v>
      </c>
      <c r="E557" t="s">
        <v>162</v>
      </c>
      <c r="F557" t="s">
        <v>32</v>
      </c>
      <c r="G557" t="s">
        <v>63</v>
      </c>
      <c r="H557">
        <v>9</v>
      </c>
      <c r="I557" s="5">
        <v>31235</v>
      </c>
      <c r="J557" t="str" cm="1">
        <f t="array" ref="J557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57">
        <v>682</v>
      </c>
      <c r="L557" t="s">
        <v>34</v>
      </c>
      <c r="M557">
        <v>1</v>
      </c>
      <c r="N557">
        <v>309</v>
      </c>
      <c r="O557" t="str" cm="1">
        <f t="array" ref="O55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57" t="s">
        <v>45</v>
      </c>
      <c r="Q557" s="5">
        <v>4600</v>
      </c>
      <c r="R557">
        <v>36</v>
      </c>
      <c r="S557">
        <v>10.78</v>
      </c>
      <c r="T557">
        <v>150.12</v>
      </c>
      <c r="U557">
        <v>17.600000000000001</v>
      </c>
      <c r="V557" t="str" cm="1">
        <f t="array" ref="V55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57" t="s">
        <v>91</v>
      </c>
      <c r="X557">
        <v>0</v>
      </c>
      <c r="Y557">
        <v>0</v>
      </c>
      <c r="Z557" s="5">
        <f>IF(Merge1[[#This Row],[loan_applications.defaulted]]=0,Merge1[[#This Row],[loan_applications.loan_amount]]*(Merge1[[#This Row],[loan_applications.interest_rate]]/100)*(Merge1[[#This Row],[loan_applications.term_months]]/12),0)</f>
        <v>1487.6399999999999</v>
      </c>
      <c r="AA557" s="5">
        <f>IF(Merge1[[#This Row],[loan_applications.defaulted]]=1,Merge1[[#This Row],[loan_applications.loan_amount]],0)</f>
        <v>0</v>
      </c>
    </row>
    <row r="558" spans="1:27" x14ac:dyDescent="0.35">
      <c r="A558" t="s">
        <v>1092</v>
      </c>
      <c r="B558" t="s">
        <v>1091</v>
      </c>
      <c r="C558" s="1">
        <v>45303</v>
      </c>
      <c r="D558">
        <v>33</v>
      </c>
      <c r="E558" t="s">
        <v>162</v>
      </c>
      <c r="F558" t="s">
        <v>32</v>
      </c>
      <c r="G558" t="s">
        <v>63</v>
      </c>
      <c r="H558">
        <v>9</v>
      </c>
      <c r="I558" s="5">
        <v>31235</v>
      </c>
      <c r="J558" t="str" cm="1">
        <f t="array" ref="J558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58">
        <v>682</v>
      </c>
      <c r="L558" t="s">
        <v>34</v>
      </c>
      <c r="M558">
        <v>1</v>
      </c>
      <c r="N558">
        <v>309</v>
      </c>
      <c r="O558" t="str" cm="1">
        <f t="array" ref="O55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58" t="s">
        <v>45</v>
      </c>
      <c r="Q558" s="5">
        <v>6000</v>
      </c>
      <c r="R558">
        <v>12</v>
      </c>
      <c r="S558">
        <v>10.23</v>
      </c>
      <c r="T558">
        <v>528.14</v>
      </c>
      <c r="U558">
        <v>32.200000000000003</v>
      </c>
      <c r="V558" t="str" cm="1">
        <f t="array" ref="V55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58" t="s">
        <v>41</v>
      </c>
      <c r="X558">
        <v>0</v>
      </c>
      <c r="Y558">
        <v>0</v>
      </c>
      <c r="Z558" s="5">
        <f>IF(Merge1[[#This Row],[loan_applications.defaulted]]=0,Merge1[[#This Row],[loan_applications.loan_amount]]*(Merge1[[#This Row],[loan_applications.interest_rate]]/100)*(Merge1[[#This Row],[loan_applications.term_months]]/12),0)</f>
        <v>613.80000000000007</v>
      </c>
      <c r="AA558" s="5">
        <f>IF(Merge1[[#This Row],[loan_applications.defaulted]]=1,Merge1[[#This Row],[loan_applications.loan_amount]],0)</f>
        <v>0</v>
      </c>
    </row>
    <row r="559" spans="1:27" x14ac:dyDescent="0.35">
      <c r="A559" t="s">
        <v>1093</v>
      </c>
      <c r="B559" t="s">
        <v>1094</v>
      </c>
      <c r="C559" s="1">
        <v>45514</v>
      </c>
      <c r="D559">
        <v>64</v>
      </c>
      <c r="E559" t="s">
        <v>67</v>
      </c>
      <c r="F559" t="s">
        <v>15</v>
      </c>
      <c r="G559" t="s">
        <v>26</v>
      </c>
      <c r="H559">
        <v>6</v>
      </c>
      <c r="I559" s="5">
        <v>49965</v>
      </c>
      <c r="J559" t="str" cm="1">
        <f t="array" ref="J55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59">
        <v>612</v>
      </c>
      <c r="L559" t="s">
        <v>27</v>
      </c>
      <c r="M559">
        <v>2</v>
      </c>
      <c r="N559">
        <v>1875</v>
      </c>
      <c r="O559" t="str" cm="1">
        <f t="array" ref="O55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59" t="s">
        <v>56</v>
      </c>
      <c r="Q559" s="5">
        <v>20000</v>
      </c>
      <c r="R559">
        <v>60</v>
      </c>
      <c r="S559">
        <v>10.86</v>
      </c>
      <c r="T559">
        <v>433.45</v>
      </c>
      <c r="U559">
        <v>55.4</v>
      </c>
      <c r="V559" t="str" cm="1">
        <f t="array" ref="V55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59" t="s">
        <v>24</v>
      </c>
      <c r="X559">
        <v>101</v>
      </c>
      <c r="Y559">
        <v>1</v>
      </c>
      <c r="Z559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59" s="5">
        <f>IF(Merge1[[#This Row],[loan_applications.defaulted]]=1,Merge1[[#This Row],[loan_applications.loan_amount]],0)</f>
        <v>20000</v>
      </c>
    </row>
    <row r="560" spans="1:27" x14ac:dyDescent="0.35">
      <c r="A560" t="s">
        <v>1095</v>
      </c>
      <c r="B560" t="s">
        <v>1096</v>
      </c>
      <c r="C560" s="1">
        <v>45619</v>
      </c>
      <c r="D560">
        <v>61</v>
      </c>
      <c r="E560" t="s">
        <v>46</v>
      </c>
      <c r="F560" t="s">
        <v>32</v>
      </c>
      <c r="G560" t="s">
        <v>16</v>
      </c>
      <c r="H560">
        <v>0</v>
      </c>
      <c r="I560" s="5">
        <v>50855</v>
      </c>
      <c r="J560" t="str" cm="1">
        <f t="array" ref="J560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60">
        <v>850</v>
      </c>
      <c r="L560" t="s">
        <v>17</v>
      </c>
      <c r="M560">
        <v>0</v>
      </c>
      <c r="N560">
        <v>2173</v>
      </c>
      <c r="O560" t="str" cm="1">
        <f t="array" ref="O56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60" t="s">
        <v>54</v>
      </c>
      <c r="Q560" s="5">
        <v>33000</v>
      </c>
      <c r="R560">
        <v>48</v>
      </c>
      <c r="S560">
        <v>7.42</v>
      </c>
      <c r="T560">
        <v>796.67</v>
      </c>
      <c r="U560">
        <v>70.099999999999994</v>
      </c>
      <c r="V560" t="str" cm="1">
        <f t="array" ref="V56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60" t="s">
        <v>24</v>
      </c>
      <c r="X560">
        <v>42</v>
      </c>
      <c r="Y560">
        <v>1</v>
      </c>
      <c r="Z56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60" s="5">
        <f>IF(Merge1[[#This Row],[loan_applications.defaulted]]=1,Merge1[[#This Row],[loan_applications.loan_amount]],0)</f>
        <v>33000</v>
      </c>
    </row>
    <row r="561" spans="1:27" x14ac:dyDescent="0.35">
      <c r="A561" t="s">
        <v>1097</v>
      </c>
      <c r="B561" t="s">
        <v>1098</v>
      </c>
      <c r="C561" s="1">
        <v>45467</v>
      </c>
      <c r="D561">
        <v>49</v>
      </c>
      <c r="E561" t="s">
        <v>61</v>
      </c>
      <c r="F561" t="s">
        <v>15</v>
      </c>
      <c r="G561" t="s">
        <v>26</v>
      </c>
      <c r="H561">
        <v>1</v>
      </c>
      <c r="I561" s="5">
        <v>35453</v>
      </c>
      <c r="J561" t="str" cm="1">
        <f t="array" ref="J561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61">
        <v>836</v>
      </c>
      <c r="L561" t="s">
        <v>17</v>
      </c>
      <c r="M561">
        <v>4</v>
      </c>
      <c r="N561">
        <v>1054</v>
      </c>
      <c r="O561" t="str" cm="1">
        <f t="array" ref="O56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61" t="s">
        <v>20</v>
      </c>
      <c r="Q561" s="5">
        <v>4900</v>
      </c>
      <c r="R561">
        <v>12</v>
      </c>
      <c r="S561">
        <v>6.69</v>
      </c>
      <c r="T561">
        <v>423.28</v>
      </c>
      <c r="U561">
        <v>50</v>
      </c>
      <c r="V561" t="str" cm="1">
        <f t="array" ref="V56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61" t="s">
        <v>41</v>
      </c>
      <c r="X561">
        <v>0</v>
      </c>
      <c r="Y561">
        <v>0</v>
      </c>
      <c r="Z561" s="5">
        <f>IF(Merge1[[#This Row],[loan_applications.defaulted]]=0,Merge1[[#This Row],[loan_applications.loan_amount]]*(Merge1[[#This Row],[loan_applications.interest_rate]]/100)*(Merge1[[#This Row],[loan_applications.term_months]]/12),0)</f>
        <v>327.81</v>
      </c>
      <c r="AA561" s="5">
        <f>IF(Merge1[[#This Row],[loan_applications.defaulted]]=1,Merge1[[#This Row],[loan_applications.loan_amount]],0)</f>
        <v>0</v>
      </c>
    </row>
    <row r="562" spans="1:27" x14ac:dyDescent="0.35">
      <c r="A562" t="s">
        <v>1099</v>
      </c>
      <c r="B562" t="s">
        <v>1098</v>
      </c>
      <c r="C562" s="1">
        <v>45764</v>
      </c>
      <c r="D562">
        <v>49</v>
      </c>
      <c r="E562" t="s">
        <v>61</v>
      </c>
      <c r="F562" t="s">
        <v>15</v>
      </c>
      <c r="G562" t="s">
        <v>26</v>
      </c>
      <c r="H562">
        <v>1</v>
      </c>
      <c r="I562" s="5">
        <v>35453</v>
      </c>
      <c r="J562" t="str" cm="1">
        <f t="array" ref="J56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62">
        <v>836</v>
      </c>
      <c r="L562" t="s">
        <v>17</v>
      </c>
      <c r="M562">
        <v>4</v>
      </c>
      <c r="N562">
        <v>1054</v>
      </c>
      <c r="O562" t="str" cm="1">
        <f t="array" ref="O56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62" t="s">
        <v>60</v>
      </c>
      <c r="Q562" s="5">
        <v>15400</v>
      </c>
      <c r="R562">
        <v>60</v>
      </c>
      <c r="S562">
        <v>11.01</v>
      </c>
      <c r="T562">
        <v>334.91</v>
      </c>
      <c r="U562">
        <v>47</v>
      </c>
      <c r="V562" t="str" cm="1">
        <f t="array" ref="V56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62" t="s">
        <v>41</v>
      </c>
      <c r="X562">
        <v>0</v>
      </c>
      <c r="Y562">
        <v>0</v>
      </c>
      <c r="Z562" s="5">
        <f>IF(Merge1[[#This Row],[loan_applications.defaulted]]=0,Merge1[[#This Row],[loan_applications.loan_amount]]*(Merge1[[#This Row],[loan_applications.interest_rate]]/100)*(Merge1[[#This Row],[loan_applications.term_months]]/12),0)</f>
        <v>8477.7000000000007</v>
      </c>
      <c r="AA562" s="5">
        <f>IF(Merge1[[#This Row],[loan_applications.defaulted]]=1,Merge1[[#This Row],[loan_applications.loan_amount]],0)</f>
        <v>0</v>
      </c>
    </row>
    <row r="563" spans="1:27" x14ac:dyDescent="0.35">
      <c r="A563" t="s">
        <v>1100</v>
      </c>
      <c r="B563" t="s">
        <v>1101</v>
      </c>
      <c r="C563" s="1">
        <v>45717</v>
      </c>
      <c r="D563">
        <v>55</v>
      </c>
      <c r="E563" t="s">
        <v>105</v>
      </c>
      <c r="F563" t="s">
        <v>68</v>
      </c>
      <c r="G563" t="s">
        <v>75</v>
      </c>
      <c r="H563">
        <v>31</v>
      </c>
      <c r="I563" s="5">
        <v>19232</v>
      </c>
      <c r="J563" t="str" cm="1">
        <f t="array" ref="J56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63">
        <v>609</v>
      </c>
      <c r="L563" t="s">
        <v>34</v>
      </c>
      <c r="M563">
        <v>3</v>
      </c>
      <c r="N563">
        <v>825</v>
      </c>
      <c r="O563" t="str" cm="1">
        <f t="array" ref="O56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63" t="s">
        <v>30</v>
      </c>
      <c r="Q563" s="5">
        <v>5000</v>
      </c>
      <c r="R563">
        <v>12</v>
      </c>
      <c r="S563">
        <v>12.2</v>
      </c>
      <c r="T563">
        <v>444.71</v>
      </c>
      <c r="U563">
        <v>79.2</v>
      </c>
      <c r="V563" t="str" cm="1">
        <f t="array" ref="V56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63" t="s">
        <v>21</v>
      </c>
      <c r="X563">
        <v>0</v>
      </c>
      <c r="Y563">
        <v>0</v>
      </c>
      <c r="Z563" s="5">
        <f>IF(Merge1[[#This Row],[loan_applications.defaulted]]=0,Merge1[[#This Row],[loan_applications.loan_amount]]*(Merge1[[#This Row],[loan_applications.interest_rate]]/100)*(Merge1[[#This Row],[loan_applications.term_months]]/12),0)</f>
        <v>610</v>
      </c>
      <c r="AA563" s="5">
        <f>IF(Merge1[[#This Row],[loan_applications.defaulted]]=1,Merge1[[#This Row],[loan_applications.loan_amount]],0)</f>
        <v>0</v>
      </c>
    </row>
    <row r="564" spans="1:27" x14ac:dyDescent="0.35">
      <c r="A564" t="s">
        <v>1102</v>
      </c>
      <c r="B564" t="s">
        <v>1101</v>
      </c>
      <c r="C564" s="1">
        <v>45694</v>
      </c>
      <c r="D564">
        <v>55</v>
      </c>
      <c r="E564" t="s">
        <v>105</v>
      </c>
      <c r="F564" t="s">
        <v>68</v>
      </c>
      <c r="G564" t="s">
        <v>75</v>
      </c>
      <c r="H564">
        <v>31</v>
      </c>
      <c r="I564" s="5">
        <v>19232</v>
      </c>
      <c r="J564" t="str" cm="1">
        <f t="array" ref="J56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64">
        <v>609</v>
      </c>
      <c r="L564" t="s">
        <v>34</v>
      </c>
      <c r="M564">
        <v>3</v>
      </c>
      <c r="N564">
        <v>825</v>
      </c>
      <c r="O564" t="str" cm="1">
        <f t="array" ref="O56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64" t="s">
        <v>23</v>
      </c>
      <c r="Q564" s="5">
        <v>6300</v>
      </c>
      <c r="R564">
        <v>48</v>
      </c>
      <c r="S564">
        <v>12.91</v>
      </c>
      <c r="T564">
        <v>168.73</v>
      </c>
      <c r="U564">
        <v>62</v>
      </c>
      <c r="V564" t="str" cm="1">
        <f t="array" ref="V56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64" t="s">
        <v>24</v>
      </c>
      <c r="X564">
        <v>146</v>
      </c>
      <c r="Y564">
        <v>1</v>
      </c>
      <c r="Z564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64" s="5">
        <f>IF(Merge1[[#This Row],[loan_applications.defaulted]]=1,Merge1[[#This Row],[loan_applications.loan_amount]],0)</f>
        <v>6300</v>
      </c>
    </row>
    <row r="565" spans="1:27" x14ac:dyDescent="0.35">
      <c r="A565" t="s">
        <v>1103</v>
      </c>
      <c r="B565" t="s">
        <v>1104</v>
      </c>
      <c r="C565" s="1">
        <v>45340</v>
      </c>
      <c r="D565">
        <v>55</v>
      </c>
      <c r="E565" t="s">
        <v>125</v>
      </c>
      <c r="F565" t="s">
        <v>68</v>
      </c>
      <c r="G565" t="s">
        <v>26</v>
      </c>
      <c r="H565">
        <v>14</v>
      </c>
      <c r="I565" s="5">
        <v>57097</v>
      </c>
      <c r="J565" t="str" cm="1">
        <f t="array" ref="J56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65">
        <v>794</v>
      </c>
      <c r="L565" t="s">
        <v>34</v>
      </c>
      <c r="M565">
        <v>0</v>
      </c>
      <c r="N565">
        <v>807</v>
      </c>
      <c r="O565" t="str" cm="1">
        <f t="array" ref="O56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65" t="s">
        <v>54</v>
      </c>
      <c r="Q565" s="5">
        <v>47000</v>
      </c>
      <c r="R565">
        <v>12</v>
      </c>
      <c r="S565">
        <v>6.91</v>
      </c>
      <c r="T565">
        <v>4064.81</v>
      </c>
      <c r="U565">
        <v>102.4</v>
      </c>
      <c r="V565" t="str" cm="1">
        <f t="array" ref="V56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65" t="s">
        <v>21</v>
      </c>
      <c r="X565">
        <v>0</v>
      </c>
      <c r="Y565">
        <v>0</v>
      </c>
      <c r="Z565" s="5">
        <f>IF(Merge1[[#This Row],[loan_applications.defaulted]]=0,Merge1[[#This Row],[loan_applications.loan_amount]]*(Merge1[[#This Row],[loan_applications.interest_rate]]/100)*(Merge1[[#This Row],[loan_applications.term_months]]/12),0)</f>
        <v>3247.7</v>
      </c>
      <c r="AA565" s="5">
        <f>IF(Merge1[[#This Row],[loan_applications.defaulted]]=1,Merge1[[#This Row],[loan_applications.loan_amount]],0)</f>
        <v>0</v>
      </c>
    </row>
    <row r="566" spans="1:27" x14ac:dyDescent="0.35">
      <c r="A566" t="s">
        <v>1105</v>
      </c>
      <c r="B566" t="s">
        <v>1106</v>
      </c>
      <c r="C566" s="1">
        <v>45297</v>
      </c>
      <c r="D566">
        <v>22</v>
      </c>
      <c r="E566" t="s">
        <v>67</v>
      </c>
      <c r="F566" t="s">
        <v>47</v>
      </c>
      <c r="G566" t="s">
        <v>26</v>
      </c>
      <c r="H566">
        <v>1</v>
      </c>
      <c r="I566" s="5">
        <v>95335</v>
      </c>
      <c r="J566" t="str" cm="1">
        <f t="array" ref="J566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66">
        <v>744</v>
      </c>
      <c r="L566" t="s">
        <v>17</v>
      </c>
      <c r="M566">
        <v>2</v>
      </c>
      <c r="N566">
        <v>2453</v>
      </c>
      <c r="O566" t="str" cm="1">
        <f t="array" ref="O56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66" t="s">
        <v>23</v>
      </c>
      <c r="Q566" s="5">
        <v>6200</v>
      </c>
      <c r="R566">
        <v>36</v>
      </c>
      <c r="S566">
        <v>11.68</v>
      </c>
      <c r="T566">
        <v>204.98</v>
      </c>
      <c r="U566">
        <v>33.5</v>
      </c>
      <c r="V566" t="str" cm="1">
        <f t="array" ref="V56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66" t="s">
        <v>91</v>
      </c>
      <c r="X566">
        <v>15</v>
      </c>
      <c r="Y566">
        <v>0</v>
      </c>
      <c r="Z566" s="5">
        <f>IF(Merge1[[#This Row],[loan_applications.defaulted]]=0,Merge1[[#This Row],[loan_applications.loan_amount]]*(Merge1[[#This Row],[loan_applications.interest_rate]]/100)*(Merge1[[#This Row],[loan_applications.term_months]]/12),0)</f>
        <v>2172.48</v>
      </c>
      <c r="AA566" s="5">
        <f>IF(Merge1[[#This Row],[loan_applications.defaulted]]=1,Merge1[[#This Row],[loan_applications.loan_amount]],0)</f>
        <v>0</v>
      </c>
    </row>
    <row r="567" spans="1:27" x14ac:dyDescent="0.35">
      <c r="A567" t="s">
        <v>1107</v>
      </c>
      <c r="B567" t="s">
        <v>1106</v>
      </c>
      <c r="C567" s="1">
        <v>45680</v>
      </c>
      <c r="D567">
        <v>22</v>
      </c>
      <c r="E567" t="s">
        <v>67</v>
      </c>
      <c r="F567" t="s">
        <v>47</v>
      </c>
      <c r="G567" t="s">
        <v>26</v>
      </c>
      <c r="H567">
        <v>1</v>
      </c>
      <c r="I567" s="5">
        <v>95335</v>
      </c>
      <c r="J567" t="str" cm="1">
        <f t="array" ref="J567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67">
        <v>744</v>
      </c>
      <c r="L567" t="s">
        <v>17</v>
      </c>
      <c r="M567">
        <v>2</v>
      </c>
      <c r="N567">
        <v>2453</v>
      </c>
      <c r="O567" t="str" cm="1">
        <f t="array" ref="O56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67" t="s">
        <v>60</v>
      </c>
      <c r="Q567" s="5">
        <v>39200</v>
      </c>
      <c r="R567">
        <v>12</v>
      </c>
      <c r="S567">
        <v>8.92</v>
      </c>
      <c r="T567">
        <v>3426.64</v>
      </c>
      <c r="U567">
        <v>74</v>
      </c>
      <c r="V567" t="str" cm="1">
        <f t="array" ref="V56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67" t="s">
        <v>24</v>
      </c>
      <c r="X567">
        <v>73</v>
      </c>
      <c r="Y567">
        <v>1</v>
      </c>
      <c r="Z56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67" s="5">
        <f>IF(Merge1[[#This Row],[loan_applications.defaulted]]=1,Merge1[[#This Row],[loan_applications.loan_amount]],0)</f>
        <v>39200</v>
      </c>
    </row>
    <row r="568" spans="1:27" x14ac:dyDescent="0.35">
      <c r="A568" t="s">
        <v>1108</v>
      </c>
      <c r="B568" t="s">
        <v>1109</v>
      </c>
      <c r="C568" s="1">
        <v>45715</v>
      </c>
      <c r="D568">
        <v>67</v>
      </c>
      <c r="E568" t="s">
        <v>46</v>
      </c>
      <c r="F568" t="s">
        <v>15</v>
      </c>
      <c r="G568" t="s">
        <v>26</v>
      </c>
      <c r="H568">
        <v>22</v>
      </c>
      <c r="I568" s="5">
        <v>32414</v>
      </c>
      <c r="J568" t="str" cm="1">
        <f t="array" ref="J56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68">
        <v>811</v>
      </c>
      <c r="L568" t="s">
        <v>34</v>
      </c>
      <c r="M568">
        <v>0</v>
      </c>
      <c r="N568">
        <v>954</v>
      </c>
      <c r="O568" t="str" cm="1">
        <f t="array" ref="O56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68" t="s">
        <v>71</v>
      </c>
      <c r="Q568" s="5">
        <v>5200</v>
      </c>
      <c r="R568">
        <v>24</v>
      </c>
      <c r="S568">
        <v>10.25</v>
      </c>
      <c r="T568">
        <v>240.55</v>
      </c>
      <c r="U568">
        <v>44.2</v>
      </c>
      <c r="V568" t="str" cm="1">
        <f t="array" ref="V56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68" t="s">
        <v>41</v>
      </c>
      <c r="X568">
        <v>0</v>
      </c>
      <c r="Y568">
        <v>0</v>
      </c>
      <c r="Z568" s="5">
        <f>IF(Merge1[[#This Row],[loan_applications.defaulted]]=0,Merge1[[#This Row],[loan_applications.loan_amount]]*(Merge1[[#This Row],[loan_applications.interest_rate]]/100)*(Merge1[[#This Row],[loan_applications.term_months]]/12),0)</f>
        <v>1066</v>
      </c>
      <c r="AA568" s="5">
        <f>IF(Merge1[[#This Row],[loan_applications.defaulted]]=1,Merge1[[#This Row],[loan_applications.loan_amount]],0)</f>
        <v>0</v>
      </c>
    </row>
    <row r="569" spans="1:27" x14ac:dyDescent="0.35">
      <c r="A569" t="s">
        <v>1110</v>
      </c>
      <c r="B569" t="s">
        <v>1109</v>
      </c>
      <c r="C569" s="1">
        <v>45786</v>
      </c>
      <c r="D569">
        <v>67</v>
      </c>
      <c r="E569" t="s">
        <v>46</v>
      </c>
      <c r="F569" t="s">
        <v>15</v>
      </c>
      <c r="G569" t="s">
        <v>26</v>
      </c>
      <c r="H569">
        <v>22</v>
      </c>
      <c r="I569" s="5">
        <v>32414</v>
      </c>
      <c r="J569" t="str" cm="1">
        <f t="array" ref="J56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69">
        <v>811</v>
      </c>
      <c r="L569" t="s">
        <v>34</v>
      </c>
      <c r="M569">
        <v>0</v>
      </c>
      <c r="N569">
        <v>954</v>
      </c>
      <c r="O569" t="str" cm="1">
        <f t="array" ref="O56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69" t="s">
        <v>56</v>
      </c>
      <c r="Q569" s="5">
        <v>22000</v>
      </c>
      <c r="R569">
        <v>36</v>
      </c>
      <c r="S569">
        <v>8.09</v>
      </c>
      <c r="T569">
        <v>690.31</v>
      </c>
      <c r="U569">
        <v>60.9</v>
      </c>
      <c r="V569" t="str" cm="1">
        <f t="array" ref="V56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69" t="s">
        <v>41</v>
      </c>
      <c r="X569">
        <v>0</v>
      </c>
      <c r="Y569">
        <v>0</v>
      </c>
      <c r="Z569" s="5">
        <f>IF(Merge1[[#This Row],[loan_applications.defaulted]]=0,Merge1[[#This Row],[loan_applications.loan_amount]]*(Merge1[[#This Row],[loan_applications.interest_rate]]/100)*(Merge1[[#This Row],[loan_applications.term_months]]/12),0)</f>
        <v>5339.4</v>
      </c>
      <c r="AA569" s="5">
        <f>IF(Merge1[[#This Row],[loan_applications.defaulted]]=1,Merge1[[#This Row],[loan_applications.loan_amount]],0)</f>
        <v>0</v>
      </c>
    </row>
    <row r="570" spans="1:27" x14ac:dyDescent="0.35">
      <c r="A570" t="s">
        <v>1111</v>
      </c>
      <c r="B570" t="s">
        <v>1112</v>
      </c>
      <c r="C570" s="1">
        <v>45368</v>
      </c>
      <c r="D570">
        <v>34</v>
      </c>
      <c r="E570" t="s">
        <v>109</v>
      </c>
      <c r="F570" t="s">
        <v>32</v>
      </c>
      <c r="G570" t="s">
        <v>26</v>
      </c>
      <c r="H570">
        <v>6</v>
      </c>
      <c r="I570" s="5">
        <v>40896</v>
      </c>
      <c r="J570" t="str" cm="1">
        <f t="array" ref="J570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70">
        <v>619</v>
      </c>
      <c r="L570" t="s">
        <v>34</v>
      </c>
      <c r="M570">
        <v>0</v>
      </c>
      <c r="N570">
        <v>671</v>
      </c>
      <c r="O570" t="str" cm="1">
        <f t="array" ref="O57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70" t="s">
        <v>30</v>
      </c>
      <c r="Q570" s="5">
        <v>13600</v>
      </c>
      <c r="R570">
        <v>24</v>
      </c>
      <c r="S570">
        <v>13.16</v>
      </c>
      <c r="T570">
        <v>647.59</v>
      </c>
      <c r="U570">
        <v>38.700000000000003</v>
      </c>
      <c r="V570" t="str" cm="1">
        <f t="array" ref="V57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70" t="s">
        <v>41</v>
      </c>
      <c r="X570">
        <v>0</v>
      </c>
      <c r="Y570">
        <v>0</v>
      </c>
      <c r="Z570" s="5">
        <f>IF(Merge1[[#This Row],[loan_applications.defaulted]]=0,Merge1[[#This Row],[loan_applications.loan_amount]]*(Merge1[[#This Row],[loan_applications.interest_rate]]/100)*(Merge1[[#This Row],[loan_applications.term_months]]/12),0)</f>
        <v>3579.52</v>
      </c>
      <c r="AA570" s="5">
        <f>IF(Merge1[[#This Row],[loan_applications.defaulted]]=1,Merge1[[#This Row],[loan_applications.loan_amount]],0)</f>
        <v>0</v>
      </c>
    </row>
    <row r="571" spans="1:27" x14ac:dyDescent="0.35">
      <c r="A571" t="s">
        <v>1113</v>
      </c>
      <c r="B571" t="s">
        <v>1114</v>
      </c>
      <c r="C571" s="1">
        <v>45832</v>
      </c>
      <c r="D571">
        <v>29</v>
      </c>
      <c r="E571" t="s">
        <v>67</v>
      </c>
      <c r="F571" t="s">
        <v>62</v>
      </c>
      <c r="G571" t="s">
        <v>75</v>
      </c>
      <c r="H571">
        <v>4</v>
      </c>
      <c r="I571" s="5">
        <v>77862</v>
      </c>
      <c r="J571" t="str" cm="1">
        <f t="array" ref="J57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71">
        <v>829</v>
      </c>
      <c r="L571" t="s">
        <v>17</v>
      </c>
      <c r="M571">
        <v>2</v>
      </c>
      <c r="N571">
        <v>2822</v>
      </c>
      <c r="O571" t="str" cm="1">
        <f t="array" ref="O57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71" t="s">
        <v>23</v>
      </c>
      <c r="Q571" s="5">
        <v>6100</v>
      </c>
      <c r="R571">
        <v>24</v>
      </c>
      <c r="S571">
        <v>10.25</v>
      </c>
      <c r="T571">
        <v>282.19</v>
      </c>
      <c r="U571">
        <v>47.8</v>
      </c>
      <c r="V571" t="str" cm="1">
        <f t="array" ref="V57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71" t="s">
        <v>21</v>
      </c>
      <c r="X571">
        <v>0</v>
      </c>
      <c r="Y571">
        <v>0</v>
      </c>
      <c r="Z571" s="5">
        <f>IF(Merge1[[#This Row],[loan_applications.defaulted]]=0,Merge1[[#This Row],[loan_applications.loan_amount]]*(Merge1[[#This Row],[loan_applications.interest_rate]]/100)*(Merge1[[#This Row],[loan_applications.term_months]]/12),0)</f>
        <v>1250.5</v>
      </c>
      <c r="AA571" s="5">
        <f>IF(Merge1[[#This Row],[loan_applications.defaulted]]=1,Merge1[[#This Row],[loan_applications.loan_amount]],0)</f>
        <v>0</v>
      </c>
    </row>
    <row r="572" spans="1:27" x14ac:dyDescent="0.35">
      <c r="A572" t="s">
        <v>1115</v>
      </c>
      <c r="B572" t="s">
        <v>1116</v>
      </c>
      <c r="C572" s="1">
        <v>45664</v>
      </c>
      <c r="D572">
        <v>43</v>
      </c>
      <c r="E572" t="s">
        <v>31</v>
      </c>
      <c r="F572" t="s">
        <v>47</v>
      </c>
      <c r="G572" t="s">
        <v>26</v>
      </c>
      <c r="H572">
        <v>0</v>
      </c>
      <c r="I572" s="5">
        <v>114645</v>
      </c>
      <c r="J572" t="str" cm="1">
        <f t="array" ref="J572">_xlfn.IFS(Merge1[[#This Row],[years_employed]]&lt;2,"&lt;2 Years",Merge1[[#This Row],[years_employed]]&lt;=5,"2-5 Years",Merge1[[#This Row],[years_employed]]&lt;=10,"5-10 Years",Merge1[[#This Row],[years_employed]]&gt;10,"10+ years")</f>
        <v>&lt;2 Years</v>
      </c>
      <c r="K572">
        <v>845</v>
      </c>
      <c r="L572" t="s">
        <v>34</v>
      </c>
      <c r="M572">
        <v>0</v>
      </c>
      <c r="N572">
        <v>3504</v>
      </c>
      <c r="O572" t="str" cm="1">
        <f t="array" ref="O57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72" t="s">
        <v>50</v>
      </c>
      <c r="Q572" s="5">
        <v>7100</v>
      </c>
      <c r="R572">
        <v>24</v>
      </c>
      <c r="S572">
        <v>7.01</v>
      </c>
      <c r="T572">
        <v>317.92</v>
      </c>
      <c r="U572">
        <v>40</v>
      </c>
      <c r="V572" t="str" cm="1">
        <f t="array" ref="V57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72" t="s">
        <v>91</v>
      </c>
      <c r="X572">
        <v>0</v>
      </c>
      <c r="Y572">
        <v>0</v>
      </c>
      <c r="Z572" s="5">
        <f>IF(Merge1[[#This Row],[loan_applications.defaulted]]=0,Merge1[[#This Row],[loan_applications.loan_amount]]*(Merge1[[#This Row],[loan_applications.interest_rate]]/100)*(Merge1[[#This Row],[loan_applications.term_months]]/12),0)</f>
        <v>995.42</v>
      </c>
      <c r="AA572" s="5">
        <f>IF(Merge1[[#This Row],[loan_applications.defaulted]]=1,Merge1[[#This Row],[loan_applications.loan_amount]],0)</f>
        <v>0</v>
      </c>
    </row>
    <row r="573" spans="1:27" x14ac:dyDescent="0.35">
      <c r="A573" t="s">
        <v>1117</v>
      </c>
      <c r="B573" t="s">
        <v>1118</v>
      </c>
      <c r="C573" s="1">
        <v>45396</v>
      </c>
      <c r="D573">
        <v>36</v>
      </c>
      <c r="E573" t="s">
        <v>162</v>
      </c>
      <c r="F573" t="s">
        <v>32</v>
      </c>
      <c r="G573" t="s">
        <v>26</v>
      </c>
      <c r="H573">
        <v>16</v>
      </c>
      <c r="I573" s="5">
        <v>60743</v>
      </c>
      <c r="J573" t="str" cm="1">
        <f t="array" ref="J57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73">
        <v>715</v>
      </c>
      <c r="L573" t="s">
        <v>34</v>
      </c>
      <c r="M573">
        <v>3</v>
      </c>
      <c r="N573">
        <v>881</v>
      </c>
      <c r="O573" t="str" cm="1">
        <f t="array" ref="O57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73" t="s">
        <v>23</v>
      </c>
      <c r="Q573" s="5">
        <v>10300</v>
      </c>
      <c r="R573">
        <v>24</v>
      </c>
      <c r="S573">
        <v>11.51</v>
      </c>
      <c r="T573">
        <v>482.5</v>
      </c>
      <c r="U573">
        <v>26.9</v>
      </c>
      <c r="V573" t="str" cm="1">
        <f t="array" ref="V57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73" t="s">
        <v>91</v>
      </c>
      <c r="X573">
        <v>15</v>
      </c>
      <c r="Y573">
        <v>0</v>
      </c>
      <c r="Z573" s="5">
        <f>IF(Merge1[[#This Row],[loan_applications.defaulted]]=0,Merge1[[#This Row],[loan_applications.loan_amount]]*(Merge1[[#This Row],[loan_applications.interest_rate]]/100)*(Merge1[[#This Row],[loan_applications.term_months]]/12),0)</f>
        <v>2371.06</v>
      </c>
      <c r="AA573" s="5">
        <f>IF(Merge1[[#This Row],[loan_applications.defaulted]]=1,Merge1[[#This Row],[loan_applications.loan_amount]],0)</f>
        <v>0</v>
      </c>
    </row>
    <row r="574" spans="1:27" x14ac:dyDescent="0.35">
      <c r="A574" t="s">
        <v>1119</v>
      </c>
      <c r="B574" t="s">
        <v>1120</v>
      </c>
      <c r="C574" s="1">
        <v>45563</v>
      </c>
      <c r="D574">
        <v>27</v>
      </c>
      <c r="E574" t="s">
        <v>139</v>
      </c>
      <c r="F574" t="s">
        <v>32</v>
      </c>
      <c r="G574" t="s">
        <v>16</v>
      </c>
      <c r="H574">
        <v>2</v>
      </c>
      <c r="I574" s="5">
        <v>62419</v>
      </c>
      <c r="J574" t="str" cm="1">
        <f t="array" ref="J57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74">
        <v>818</v>
      </c>
      <c r="L574" t="s">
        <v>34</v>
      </c>
      <c r="M574">
        <v>0</v>
      </c>
      <c r="N574">
        <v>1752</v>
      </c>
      <c r="O574" t="str" cm="1">
        <f t="array" ref="O57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74" t="s">
        <v>20</v>
      </c>
      <c r="Q574" s="5">
        <v>2900</v>
      </c>
      <c r="R574">
        <v>60</v>
      </c>
      <c r="S574">
        <v>8.6300000000000008</v>
      </c>
      <c r="T574">
        <v>59.68</v>
      </c>
      <c r="U574">
        <v>34.799999999999997</v>
      </c>
      <c r="V574" t="str" cm="1">
        <f t="array" ref="V57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74" t="s">
        <v>41</v>
      </c>
      <c r="X574">
        <v>0</v>
      </c>
      <c r="Y574">
        <v>0</v>
      </c>
      <c r="Z574" s="5">
        <f>IF(Merge1[[#This Row],[loan_applications.defaulted]]=0,Merge1[[#This Row],[loan_applications.loan_amount]]*(Merge1[[#This Row],[loan_applications.interest_rate]]/100)*(Merge1[[#This Row],[loan_applications.term_months]]/12),0)</f>
        <v>1251.3500000000001</v>
      </c>
      <c r="AA574" s="5">
        <f>IF(Merge1[[#This Row],[loan_applications.defaulted]]=1,Merge1[[#This Row],[loan_applications.loan_amount]],0)</f>
        <v>0</v>
      </c>
    </row>
    <row r="575" spans="1:27" x14ac:dyDescent="0.35">
      <c r="A575" t="s">
        <v>1121</v>
      </c>
      <c r="B575" t="s">
        <v>1122</v>
      </c>
      <c r="C575" s="1">
        <v>45670</v>
      </c>
      <c r="D575">
        <v>33</v>
      </c>
      <c r="E575" t="s">
        <v>79</v>
      </c>
      <c r="F575" t="s">
        <v>62</v>
      </c>
      <c r="G575" t="s">
        <v>16</v>
      </c>
      <c r="H575">
        <v>11</v>
      </c>
      <c r="I575" s="5">
        <v>132671</v>
      </c>
      <c r="J575" t="str" cm="1">
        <f t="array" ref="J575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75">
        <v>805</v>
      </c>
      <c r="L575" t="s">
        <v>27</v>
      </c>
      <c r="M575">
        <v>0</v>
      </c>
      <c r="N575">
        <v>2019</v>
      </c>
      <c r="O575" t="str" cm="1">
        <f t="array" ref="O57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75" t="s">
        <v>23</v>
      </c>
      <c r="Q575" s="5">
        <v>26400</v>
      </c>
      <c r="R575">
        <v>12</v>
      </c>
      <c r="S575">
        <v>8.7899999999999991</v>
      </c>
      <c r="T575">
        <v>2306.15</v>
      </c>
      <c r="U575">
        <v>39.1</v>
      </c>
      <c r="V575" t="str" cm="1">
        <f t="array" ref="V57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75" t="s">
        <v>21</v>
      </c>
      <c r="X575">
        <v>0</v>
      </c>
      <c r="Y575">
        <v>0</v>
      </c>
      <c r="Z575" s="5">
        <f>IF(Merge1[[#This Row],[loan_applications.defaulted]]=0,Merge1[[#This Row],[loan_applications.loan_amount]]*(Merge1[[#This Row],[loan_applications.interest_rate]]/100)*(Merge1[[#This Row],[loan_applications.term_months]]/12),0)</f>
        <v>2320.56</v>
      </c>
      <c r="AA575" s="5">
        <f>IF(Merge1[[#This Row],[loan_applications.defaulted]]=1,Merge1[[#This Row],[loan_applications.loan_amount]],0)</f>
        <v>0</v>
      </c>
    </row>
    <row r="576" spans="1:27" x14ac:dyDescent="0.35">
      <c r="A576" t="s">
        <v>1123</v>
      </c>
      <c r="B576" t="s">
        <v>1124</v>
      </c>
      <c r="C576" s="1">
        <v>45797</v>
      </c>
      <c r="D576">
        <v>36</v>
      </c>
      <c r="E576" t="s">
        <v>42</v>
      </c>
      <c r="F576" t="s">
        <v>68</v>
      </c>
      <c r="G576" t="s">
        <v>26</v>
      </c>
      <c r="H576">
        <v>3</v>
      </c>
      <c r="I576" s="5">
        <v>57979</v>
      </c>
      <c r="J576" t="str" cm="1">
        <f t="array" ref="J57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76">
        <v>609</v>
      </c>
      <c r="L576" t="s">
        <v>27</v>
      </c>
      <c r="M576">
        <v>2</v>
      </c>
      <c r="N576">
        <v>1844</v>
      </c>
      <c r="O576" t="str" cm="1">
        <f t="array" ref="O57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76" t="s">
        <v>37</v>
      </c>
      <c r="Q576" s="5">
        <v>7000</v>
      </c>
      <c r="R576">
        <v>36</v>
      </c>
      <c r="S576">
        <v>12.5</v>
      </c>
      <c r="T576">
        <v>234.18</v>
      </c>
      <c r="U576">
        <v>43</v>
      </c>
      <c r="V576" t="str" cm="1">
        <f t="array" ref="V57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76" t="s">
        <v>41</v>
      </c>
      <c r="X576">
        <v>0</v>
      </c>
      <c r="Y576">
        <v>0</v>
      </c>
      <c r="Z576" s="5">
        <f>IF(Merge1[[#This Row],[loan_applications.defaulted]]=0,Merge1[[#This Row],[loan_applications.loan_amount]]*(Merge1[[#This Row],[loan_applications.interest_rate]]/100)*(Merge1[[#This Row],[loan_applications.term_months]]/12),0)</f>
        <v>2625</v>
      </c>
      <c r="AA576" s="5">
        <f>IF(Merge1[[#This Row],[loan_applications.defaulted]]=1,Merge1[[#This Row],[loan_applications.loan_amount]],0)</f>
        <v>0</v>
      </c>
    </row>
    <row r="577" spans="1:27" x14ac:dyDescent="0.35">
      <c r="A577" t="s">
        <v>1125</v>
      </c>
      <c r="B577" t="s">
        <v>1126</v>
      </c>
      <c r="C577" s="1">
        <v>45536</v>
      </c>
      <c r="D577">
        <v>61</v>
      </c>
      <c r="E577" t="s">
        <v>113</v>
      </c>
      <c r="F577" t="s">
        <v>15</v>
      </c>
      <c r="G577" t="s">
        <v>33</v>
      </c>
      <c r="H577">
        <v>23</v>
      </c>
      <c r="I577" s="5">
        <v>56121</v>
      </c>
      <c r="J577" t="str" cm="1">
        <f t="array" ref="J577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77">
        <v>776</v>
      </c>
      <c r="L577" t="s">
        <v>34</v>
      </c>
      <c r="M577">
        <v>3</v>
      </c>
      <c r="N577">
        <v>2293</v>
      </c>
      <c r="O577" t="str" cm="1">
        <f t="array" ref="O57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77" t="s">
        <v>54</v>
      </c>
      <c r="Q577" s="5">
        <v>3600</v>
      </c>
      <c r="R577">
        <v>12</v>
      </c>
      <c r="S577">
        <v>9.94</v>
      </c>
      <c r="T577">
        <v>316.39999999999998</v>
      </c>
      <c r="U577">
        <v>55.8</v>
      </c>
      <c r="V577" t="str" cm="1">
        <f t="array" ref="V57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77" t="s">
        <v>24</v>
      </c>
      <c r="X577">
        <v>55</v>
      </c>
      <c r="Y577">
        <v>1</v>
      </c>
      <c r="Z577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77" s="5">
        <f>IF(Merge1[[#This Row],[loan_applications.defaulted]]=1,Merge1[[#This Row],[loan_applications.loan_amount]],0)</f>
        <v>3600</v>
      </c>
    </row>
    <row r="578" spans="1:27" x14ac:dyDescent="0.35">
      <c r="A578" t="s">
        <v>1127</v>
      </c>
      <c r="B578" t="s">
        <v>1128</v>
      </c>
      <c r="C578" s="1">
        <v>45566</v>
      </c>
      <c r="D578">
        <v>58</v>
      </c>
      <c r="E578" t="s">
        <v>169</v>
      </c>
      <c r="F578" t="s">
        <v>62</v>
      </c>
      <c r="G578" t="s">
        <v>26</v>
      </c>
      <c r="H578">
        <v>17</v>
      </c>
      <c r="I578" s="5">
        <v>139061</v>
      </c>
      <c r="J578" t="str" cm="1">
        <f t="array" ref="J578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78">
        <v>811</v>
      </c>
      <c r="L578" t="s">
        <v>34</v>
      </c>
      <c r="M578">
        <v>2</v>
      </c>
      <c r="N578">
        <v>893</v>
      </c>
      <c r="O578" t="str" cm="1">
        <f t="array" ref="O57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78" t="s">
        <v>71</v>
      </c>
      <c r="Q578" s="5">
        <v>21400</v>
      </c>
      <c r="R578">
        <v>48</v>
      </c>
      <c r="S578">
        <v>6.99</v>
      </c>
      <c r="T578">
        <v>512.35</v>
      </c>
      <c r="U578">
        <v>12.1</v>
      </c>
      <c r="V578" t="str" cm="1">
        <f t="array" ref="V57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78" t="s">
        <v>41</v>
      </c>
      <c r="X578">
        <v>0</v>
      </c>
      <c r="Y578">
        <v>0</v>
      </c>
      <c r="Z578" s="5">
        <f>IF(Merge1[[#This Row],[loan_applications.defaulted]]=0,Merge1[[#This Row],[loan_applications.loan_amount]]*(Merge1[[#This Row],[loan_applications.interest_rate]]/100)*(Merge1[[#This Row],[loan_applications.term_months]]/12),0)</f>
        <v>5983.4400000000005</v>
      </c>
      <c r="AA578" s="5">
        <f>IF(Merge1[[#This Row],[loan_applications.defaulted]]=1,Merge1[[#This Row],[loan_applications.loan_amount]],0)</f>
        <v>0</v>
      </c>
    </row>
    <row r="579" spans="1:27" x14ac:dyDescent="0.35">
      <c r="A579" t="s">
        <v>1129</v>
      </c>
      <c r="B579" t="s">
        <v>1130</v>
      </c>
      <c r="C579" s="1">
        <v>45780</v>
      </c>
      <c r="D579">
        <v>49</v>
      </c>
      <c r="E579" t="s">
        <v>203</v>
      </c>
      <c r="F579" t="s">
        <v>32</v>
      </c>
      <c r="G579" t="s">
        <v>26</v>
      </c>
      <c r="H579">
        <v>27</v>
      </c>
      <c r="I579" s="5">
        <v>72657</v>
      </c>
      <c r="J579" t="str" cm="1">
        <f t="array" ref="J57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79">
        <v>736</v>
      </c>
      <c r="L579" t="s">
        <v>17</v>
      </c>
      <c r="M579">
        <v>1</v>
      </c>
      <c r="N579">
        <v>667</v>
      </c>
      <c r="O579" t="str" cm="1">
        <f t="array" ref="O57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700-749</v>
      </c>
      <c r="P579" t="s">
        <v>71</v>
      </c>
      <c r="Q579" s="5">
        <v>2100</v>
      </c>
      <c r="R579">
        <v>24</v>
      </c>
      <c r="S579">
        <v>10.25</v>
      </c>
      <c r="T579">
        <v>97.15</v>
      </c>
      <c r="U579">
        <v>12.6</v>
      </c>
      <c r="V579" t="str" cm="1">
        <f t="array" ref="V57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1.&lt;20%</v>
      </c>
      <c r="W579" t="s">
        <v>91</v>
      </c>
      <c r="X579">
        <v>15</v>
      </c>
      <c r="Y579">
        <v>0</v>
      </c>
      <c r="Z579" s="5">
        <f>IF(Merge1[[#This Row],[loan_applications.defaulted]]=0,Merge1[[#This Row],[loan_applications.loan_amount]]*(Merge1[[#This Row],[loan_applications.interest_rate]]/100)*(Merge1[[#This Row],[loan_applications.term_months]]/12),0)</f>
        <v>430.5</v>
      </c>
      <c r="AA579" s="5">
        <f>IF(Merge1[[#This Row],[loan_applications.defaulted]]=1,Merge1[[#This Row],[loan_applications.loan_amount]],0)</f>
        <v>0</v>
      </c>
    </row>
    <row r="580" spans="1:27" x14ac:dyDescent="0.35">
      <c r="A580" t="s">
        <v>1131</v>
      </c>
      <c r="B580" t="s">
        <v>1132</v>
      </c>
      <c r="C580" s="1">
        <v>45305</v>
      </c>
      <c r="D580">
        <v>55</v>
      </c>
      <c r="E580" t="s">
        <v>118</v>
      </c>
      <c r="F580" t="s">
        <v>32</v>
      </c>
      <c r="G580" t="s">
        <v>16</v>
      </c>
      <c r="H580">
        <v>24</v>
      </c>
      <c r="I580" s="5">
        <v>41354</v>
      </c>
      <c r="J580" t="str" cm="1">
        <f t="array" ref="J58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80">
        <v>637</v>
      </c>
      <c r="L580" t="s">
        <v>34</v>
      </c>
      <c r="M580">
        <v>1</v>
      </c>
      <c r="N580">
        <v>1657</v>
      </c>
      <c r="O580" t="str" cm="1">
        <f t="array" ref="O58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80" t="s">
        <v>54</v>
      </c>
      <c r="Q580" s="5">
        <v>8200</v>
      </c>
      <c r="R580">
        <v>48</v>
      </c>
      <c r="S580">
        <v>10.09</v>
      </c>
      <c r="T580">
        <v>208.33</v>
      </c>
      <c r="U580">
        <v>54.1</v>
      </c>
      <c r="V580" t="str" cm="1">
        <f t="array" ref="V58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80" t="s">
        <v>41</v>
      </c>
      <c r="X580">
        <v>0</v>
      </c>
      <c r="Y580">
        <v>0</v>
      </c>
      <c r="Z580" s="5">
        <f>IF(Merge1[[#This Row],[loan_applications.defaulted]]=0,Merge1[[#This Row],[loan_applications.loan_amount]]*(Merge1[[#This Row],[loan_applications.interest_rate]]/100)*(Merge1[[#This Row],[loan_applications.term_months]]/12),0)</f>
        <v>3309.52</v>
      </c>
      <c r="AA580" s="5">
        <f>IF(Merge1[[#This Row],[loan_applications.defaulted]]=1,Merge1[[#This Row],[loan_applications.loan_amount]],0)</f>
        <v>0</v>
      </c>
    </row>
    <row r="581" spans="1:27" x14ac:dyDescent="0.35">
      <c r="A581" t="s">
        <v>1133</v>
      </c>
      <c r="B581" t="s">
        <v>1134</v>
      </c>
      <c r="C581" s="1">
        <v>45777</v>
      </c>
      <c r="D581">
        <v>33</v>
      </c>
      <c r="E581" t="s">
        <v>113</v>
      </c>
      <c r="F581" t="s">
        <v>32</v>
      </c>
      <c r="G581" t="s">
        <v>26</v>
      </c>
      <c r="H581">
        <v>5</v>
      </c>
      <c r="I581" s="5">
        <v>70671</v>
      </c>
      <c r="J581" t="str" cm="1">
        <f t="array" ref="J58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81">
        <v>848</v>
      </c>
      <c r="L581" t="s">
        <v>34</v>
      </c>
      <c r="M581">
        <v>1</v>
      </c>
      <c r="N581">
        <v>1528</v>
      </c>
      <c r="O581" t="str" cm="1">
        <f t="array" ref="O58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81" t="s">
        <v>54</v>
      </c>
      <c r="Q581" s="5">
        <v>27600</v>
      </c>
      <c r="R581">
        <v>12</v>
      </c>
      <c r="S581">
        <v>8.84</v>
      </c>
      <c r="T581">
        <v>2411.61</v>
      </c>
      <c r="U581">
        <v>66.900000000000006</v>
      </c>
      <c r="V581" t="str" cm="1">
        <f t="array" ref="V58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81" t="s">
        <v>41</v>
      </c>
      <c r="X581">
        <v>0</v>
      </c>
      <c r="Y581">
        <v>0</v>
      </c>
      <c r="Z581" s="5">
        <f>IF(Merge1[[#This Row],[loan_applications.defaulted]]=0,Merge1[[#This Row],[loan_applications.loan_amount]]*(Merge1[[#This Row],[loan_applications.interest_rate]]/100)*(Merge1[[#This Row],[loan_applications.term_months]]/12),0)</f>
        <v>2439.8399999999997</v>
      </c>
      <c r="AA581" s="5">
        <f>IF(Merge1[[#This Row],[loan_applications.defaulted]]=1,Merge1[[#This Row],[loan_applications.loan_amount]],0)</f>
        <v>0</v>
      </c>
    </row>
    <row r="582" spans="1:27" x14ac:dyDescent="0.35">
      <c r="A582" t="s">
        <v>1135</v>
      </c>
      <c r="B582" t="s">
        <v>1134</v>
      </c>
      <c r="C582" s="1">
        <v>45829</v>
      </c>
      <c r="D582">
        <v>33</v>
      </c>
      <c r="E582" t="s">
        <v>113</v>
      </c>
      <c r="F582" t="s">
        <v>32</v>
      </c>
      <c r="G582" t="s">
        <v>26</v>
      </c>
      <c r="H582">
        <v>5</v>
      </c>
      <c r="I582" s="5">
        <v>70671</v>
      </c>
      <c r="J582" t="str" cm="1">
        <f t="array" ref="J58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82">
        <v>848</v>
      </c>
      <c r="L582" t="s">
        <v>34</v>
      </c>
      <c r="M582">
        <v>1</v>
      </c>
      <c r="N582">
        <v>1528</v>
      </c>
      <c r="O582" t="str" cm="1">
        <f t="array" ref="O58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82" t="s">
        <v>54</v>
      </c>
      <c r="Q582" s="5">
        <v>2400</v>
      </c>
      <c r="R582">
        <v>36</v>
      </c>
      <c r="S582">
        <v>10.039999999999999</v>
      </c>
      <c r="T582">
        <v>77.489999999999995</v>
      </c>
      <c r="U582">
        <v>27.3</v>
      </c>
      <c r="V582" t="str" cm="1">
        <f t="array" ref="V58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82" t="s">
        <v>21</v>
      </c>
      <c r="X582">
        <v>0</v>
      </c>
      <c r="Y582">
        <v>0</v>
      </c>
      <c r="Z582" s="5">
        <f>IF(Merge1[[#This Row],[loan_applications.defaulted]]=0,Merge1[[#This Row],[loan_applications.loan_amount]]*(Merge1[[#This Row],[loan_applications.interest_rate]]/100)*(Merge1[[#This Row],[loan_applications.term_months]]/12),0)</f>
        <v>722.87999999999988</v>
      </c>
      <c r="AA582" s="5">
        <f>IF(Merge1[[#This Row],[loan_applications.defaulted]]=1,Merge1[[#This Row],[loan_applications.loan_amount]],0)</f>
        <v>0</v>
      </c>
    </row>
    <row r="583" spans="1:27" x14ac:dyDescent="0.35">
      <c r="A583" t="s">
        <v>1136</v>
      </c>
      <c r="B583" t="s">
        <v>1137</v>
      </c>
      <c r="C583" s="1">
        <v>45790</v>
      </c>
      <c r="D583">
        <v>45</v>
      </c>
      <c r="E583" t="s">
        <v>125</v>
      </c>
      <c r="F583" t="s">
        <v>32</v>
      </c>
      <c r="G583" t="s">
        <v>26</v>
      </c>
      <c r="H583">
        <v>4</v>
      </c>
      <c r="I583" s="5">
        <v>69356</v>
      </c>
      <c r="J583" t="str" cm="1">
        <f t="array" ref="J583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83">
        <v>827</v>
      </c>
      <c r="L583" t="s">
        <v>17</v>
      </c>
      <c r="M583">
        <v>0</v>
      </c>
      <c r="N583">
        <v>577</v>
      </c>
      <c r="O583" t="str" cm="1">
        <f t="array" ref="O58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83" t="s">
        <v>45</v>
      </c>
      <c r="Q583" s="5">
        <v>37300</v>
      </c>
      <c r="R583">
        <v>60</v>
      </c>
      <c r="S583">
        <v>7.5</v>
      </c>
      <c r="T583">
        <v>747.42</v>
      </c>
      <c r="U583">
        <v>22.9</v>
      </c>
      <c r="V583" t="str" cm="1">
        <f t="array" ref="V58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83" t="s">
        <v>21</v>
      </c>
      <c r="X583">
        <v>0</v>
      </c>
      <c r="Y583">
        <v>0</v>
      </c>
      <c r="Z583" s="5">
        <f>IF(Merge1[[#This Row],[loan_applications.defaulted]]=0,Merge1[[#This Row],[loan_applications.loan_amount]]*(Merge1[[#This Row],[loan_applications.interest_rate]]/100)*(Merge1[[#This Row],[loan_applications.term_months]]/12),0)</f>
        <v>13987.5</v>
      </c>
      <c r="AA583" s="5">
        <f>IF(Merge1[[#This Row],[loan_applications.defaulted]]=1,Merge1[[#This Row],[loan_applications.loan_amount]],0)</f>
        <v>0</v>
      </c>
    </row>
    <row r="584" spans="1:27" x14ac:dyDescent="0.35">
      <c r="A584" t="s">
        <v>1138</v>
      </c>
      <c r="B584" t="s">
        <v>1139</v>
      </c>
      <c r="C584" s="1">
        <v>45568</v>
      </c>
      <c r="D584">
        <v>39</v>
      </c>
      <c r="E584" t="s">
        <v>79</v>
      </c>
      <c r="F584" t="s">
        <v>62</v>
      </c>
      <c r="G584" t="s">
        <v>63</v>
      </c>
      <c r="H584">
        <v>4</v>
      </c>
      <c r="I584" s="5">
        <v>70439</v>
      </c>
      <c r="J584" t="str" cm="1">
        <f t="array" ref="J584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84">
        <v>635</v>
      </c>
      <c r="L584" t="s">
        <v>17</v>
      </c>
      <c r="M584">
        <v>0</v>
      </c>
      <c r="N584">
        <v>2658</v>
      </c>
      <c r="O584" t="str" cm="1">
        <f t="array" ref="O58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84" t="s">
        <v>45</v>
      </c>
      <c r="Q584" s="5">
        <v>39200</v>
      </c>
      <c r="R584">
        <v>60</v>
      </c>
      <c r="S584">
        <v>11.84</v>
      </c>
      <c r="T584">
        <v>868.82</v>
      </c>
      <c r="U584">
        <v>60.1</v>
      </c>
      <c r="V584" t="str" cm="1">
        <f t="array" ref="V58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84" t="s">
        <v>41</v>
      </c>
      <c r="X584">
        <v>0</v>
      </c>
      <c r="Y584">
        <v>0</v>
      </c>
      <c r="Z584" s="5">
        <f>IF(Merge1[[#This Row],[loan_applications.defaulted]]=0,Merge1[[#This Row],[loan_applications.loan_amount]]*(Merge1[[#This Row],[loan_applications.interest_rate]]/100)*(Merge1[[#This Row],[loan_applications.term_months]]/12),0)</f>
        <v>23206.400000000001</v>
      </c>
      <c r="AA584" s="5">
        <f>IF(Merge1[[#This Row],[loan_applications.defaulted]]=1,Merge1[[#This Row],[loan_applications.loan_amount]],0)</f>
        <v>0</v>
      </c>
    </row>
    <row r="585" spans="1:27" x14ac:dyDescent="0.35">
      <c r="A585" t="s">
        <v>1140</v>
      </c>
      <c r="B585" t="s">
        <v>1141</v>
      </c>
      <c r="C585" s="1">
        <v>45733</v>
      </c>
      <c r="D585">
        <v>33</v>
      </c>
      <c r="E585" t="s">
        <v>118</v>
      </c>
      <c r="F585" t="s">
        <v>32</v>
      </c>
      <c r="G585" t="s">
        <v>26</v>
      </c>
      <c r="H585">
        <v>8</v>
      </c>
      <c r="I585" s="5">
        <v>97590</v>
      </c>
      <c r="J585" t="str" cm="1">
        <f t="array" ref="J58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85">
        <v>850</v>
      </c>
      <c r="L585" t="s">
        <v>34</v>
      </c>
      <c r="M585">
        <v>2</v>
      </c>
      <c r="N585">
        <v>1626</v>
      </c>
      <c r="O585" t="str" cm="1">
        <f t="array" ref="O58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85" t="s">
        <v>56</v>
      </c>
      <c r="Q585" s="5">
        <v>8800</v>
      </c>
      <c r="R585">
        <v>48</v>
      </c>
      <c r="S585">
        <v>5.99</v>
      </c>
      <c r="T585">
        <v>206.63</v>
      </c>
      <c r="U585">
        <v>22.5</v>
      </c>
      <c r="V585" t="str" cm="1">
        <f t="array" ref="V58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85" t="s">
        <v>41</v>
      </c>
      <c r="X585">
        <v>0</v>
      </c>
      <c r="Y585">
        <v>0</v>
      </c>
      <c r="Z585" s="5">
        <f>IF(Merge1[[#This Row],[loan_applications.defaulted]]=0,Merge1[[#This Row],[loan_applications.loan_amount]]*(Merge1[[#This Row],[loan_applications.interest_rate]]/100)*(Merge1[[#This Row],[loan_applications.term_months]]/12),0)</f>
        <v>2108.48</v>
      </c>
      <c r="AA585" s="5">
        <f>IF(Merge1[[#This Row],[loan_applications.defaulted]]=1,Merge1[[#This Row],[loan_applications.loan_amount]],0)</f>
        <v>0</v>
      </c>
    </row>
    <row r="586" spans="1:27" x14ac:dyDescent="0.35">
      <c r="A586" t="s">
        <v>1142</v>
      </c>
      <c r="B586" t="s">
        <v>1141</v>
      </c>
      <c r="C586" s="1">
        <v>45752</v>
      </c>
      <c r="D586">
        <v>33</v>
      </c>
      <c r="E586" t="s">
        <v>118</v>
      </c>
      <c r="F586" t="s">
        <v>32</v>
      </c>
      <c r="G586" t="s">
        <v>26</v>
      </c>
      <c r="H586">
        <v>8</v>
      </c>
      <c r="I586" s="5">
        <v>97590</v>
      </c>
      <c r="J586" t="str" cm="1">
        <f t="array" ref="J586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86">
        <v>850</v>
      </c>
      <c r="L586" t="s">
        <v>34</v>
      </c>
      <c r="M586">
        <v>2</v>
      </c>
      <c r="N586">
        <v>1626</v>
      </c>
      <c r="O586" t="str" cm="1">
        <f t="array" ref="O58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86" t="s">
        <v>23</v>
      </c>
      <c r="Q586" s="5">
        <v>48300</v>
      </c>
      <c r="R586">
        <v>60</v>
      </c>
      <c r="S586">
        <v>10.33</v>
      </c>
      <c r="T586">
        <v>1034.0899999999999</v>
      </c>
      <c r="U586">
        <v>32.700000000000003</v>
      </c>
      <c r="V586" t="str" cm="1">
        <f t="array" ref="V58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86" t="s">
        <v>91</v>
      </c>
      <c r="X586">
        <v>15</v>
      </c>
      <c r="Y586">
        <v>0</v>
      </c>
      <c r="Z586" s="5">
        <f>IF(Merge1[[#This Row],[loan_applications.defaulted]]=0,Merge1[[#This Row],[loan_applications.loan_amount]]*(Merge1[[#This Row],[loan_applications.interest_rate]]/100)*(Merge1[[#This Row],[loan_applications.term_months]]/12),0)</f>
        <v>24946.95</v>
      </c>
      <c r="AA586" s="5">
        <f>IF(Merge1[[#This Row],[loan_applications.defaulted]]=1,Merge1[[#This Row],[loan_applications.loan_amount]],0)</f>
        <v>0</v>
      </c>
    </row>
    <row r="587" spans="1:27" x14ac:dyDescent="0.35">
      <c r="A587" t="s">
        <v>1143</v>
      </c>
      <c r="B587" t="s">
        <v>1144</v>
      </c>
      <c r="C587" s="1">
        <v>45574</v>
      </c>
      <c r="D587">
        <v>57</v>
      </c>
      <c r="E587" t="s">
        <v>31</v>
      </c>
      <c r="F587" t="s">
        <v>62</v>
      </c>
      <c r="G587" t="s">
        <v>26</v>
      </c>
      <c r="H587">
        <v>3</v>
      </c>
      <c r="I587" s="5">
        <v>63092</v>
      </c>
      <c r="J587" t="str" cm="1">
        <f t="array" ref="J58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87">
        <v>618</v>
      </c>
      <c r="L587" t="s">
        <v>27</v>
      </c>
      <c r="M587">
        <v>1</v>
      </c>
      <c r="N587">
        <v>1918</v>
      </c>
      <c r="O587" t="str" cm="1">
        <f t="array" ref="O58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87" t="s">
        <v>45</v>
      </c>
      <c r="Q587" s="5">
        <v>20800</v>
      </c>
      <c r="R587">
        <v>48</v>
      </c>
      <c r="S587">
        <v>14.43</v>
      </c>
      <c r="T587">
        <v>572.89</v>
      </c>
      <c r="U587">
        <v>47.4</v>
      </c>
      <c r="V587" t="str" cm="1">
        <f t="array" ref="V58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87" t="s">
        <v>41</v>
      </c>
      <c r="X587">
        <v>0</v>
      </c>
      <c r="Y587">
        <v>0</v>
      </c>
      <c r="Z587" s="5">
        <f>IF(Merge1[[#This Row],[loan_applications.defaulted]]=0,Merge1[[#This Row],[loan_applications.loan_amount]]*(Merge1[[#This Row],[loan_applications.interest_rate]]/100)*(Merge1[[#This Row],[loan_applications.term_months]]/12),0)</f>
        <v>12005.759999999998</v>
      </c>
      <c r="AA587" s="5">
        <f>IF(Merge1[[#This Row],[loan_applications.defaulted]]=1,Merge1[[#This Row],[loan_applications.loan_amount]],0)</f>
        <v>0</v>
      </c>
    </row>
    <row r="588" spans="1:27" x14ac:dyDescent="0.35">
      <c r="A588" t="s">
        <v>1145</v>
      </c>
      <c r="B588" t="s">
        <v>1144</v>
      </c>
      <c r="C588" s="1">
        <v>45647</v>
      </c>
      <c r="D588">
        <v>57</v>
      </c>
      <c r="E588" t="s">
        <v>31</v>
      </c>
      <c r="F588" t="s">
        <v>62</v>
      </c>
      <c r="G588" t="s">
        <v>26</v>
      </c>
      <c r="H588">
        <v>3</v>
      </c>
      <c r="I588" s="5">
        <v>63092</v>
      </c>
      <c r="J588" t="str" cm="1">
        <f t="array" ref="J58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88">
        <v>618</v>
      </c>
      <c r="L588" t="s">
        <v>27</v>
      </c>
      <c r="M588">
        <v>1</v>
      </c>
      <c r="N588">
        <v>1918</v>
      </c>
      <c r="O588" t="str" cm="1">
        <f t="array" ref="O58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588" t="s">
        <v>45</v>
      </c>
      <c r="Q588" s="5">
        <v>7900</v>
      </c>
      <c r="R588">
        <v>48</v>
      </c>
      <c r="S588">
        <v>12.53</v>
      </c>
      <c r="T588">
        <v>210.1</v>
      </c>
      <c r="U588">
        <v>40.5</v>
      </c>
      <c r="V588" t="str" cm="1">
        <f t="array" ref="V58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88" t="s">
        <v>91</v>
      </c>
      <c r="X588">
        <v>30</v>
      </c>
      <c r="Y588">
        <v>0</v>
      </c>
      <c r="Z588" s="5">
        <f>IF(Merge1[[#This Row],[loan_applications.defaulted]]=0,Merge1[[#This Row],[loan_applications.loan_amount]]*(Merge1[[#This Row],[loan_applications.interest_rate]]/100)*(Merge1[[#This Row],[loan_applications.term_months]]/12),0)</f>
        <v>3959.48</v>
      </c>
      <c r="AA588" s="5">
        <f>IF(Merge1[[#This Row],[loan_applications.defaulted]]=1,Merge1[[#This Row],[loan_applications.loan_amount]],0)</f>
        <v>0</v>
      </c>
    </row>
    <row r="589" spans="1:27" x14ac:dyDescent="0.35">
      <c r="A589" t="s">
        <v>1146</v>
      </c>
      <c r="B589" t="s">
        <v>1147</v>
      </c>
      <c r="C589" s="1">
        <v>45458</v>
      </c>
      <c r="D589">
        <v>50</v>
      </c>
      <c r="E589" t="s">
        <v>139</v>
      </c>
      <c r="F589" t="s">
        <v>62</v>
      </c>
      <c r="G589" t="s">
        <v>26</v>
      </c>
      <c r="H589">
        <v>29</v>
      </c>
      <c r="I589" s="5">
        <v>85514</v>
      </c>
      <c r="J589" t="str" cm="1">
        <f t="array" ref="J589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89">
        <v>825</v>
      </c>
      <c r="L589" t="s">
        <v>17</v>
      </c>
      <c r="M589">
        <v>0</v>
      </c>
      <c r="N589">
        <v>788</v>
      </c>
      <c r="O589" t="str" cm="1">
        <f t="array" ref="O58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89" t="s">
        <v>20</v>
      </c>
      <c r="Q589" s="5">
        <v>27100</v>
      </c>
      <c r="R589">
        <v>36</v>
      </c>
      <c r="S589">
        <v>9.3699999999999992</v>
      </c>
      <c r="T589">
        <v>866.45</v>
      </c>
      <c r="U589">
        <v>23.2</v>
      </c>
      <c r="V589" t="str" cm="1">
        <f t="array" ref="V58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89" t="s">
        <v>21</v>
      </c>
      <c r="X589">
        <v>0</v>
      </c>
      <c r="Y589">
        <v>0</v>
      </c>
      <c r="Z589" s="5">
        <f>IF(Merge1[[#This Row],[loan_applications.defaulted]]=0,Merge1[[#This Row],[loan_applications.loan_amount]]*(Merge1[[#This Row],[loan_applications.interest_rate]]/100)*(Merge1[[#This Row],[loan_applications.term_months]]/12),0)</f>
        <v>7617.8099999999995</v>
      </c>
      <c r="AA589" s="5">
        <f>IF(Merge1[[#This Row],[loan_applications.defaulted]]=1,Merge1[[#This Row],[loan_applications.loan_amount]],0)</f>
        <v>0</v>
      </c>
    </row>
    <row r="590" spans="1:27" x14ac:dyDescent="0.35">
      <c r="A590" t="s">
        <v>1148</v>
      </c>
      <c r="B590" t="s">
        <v>1149</v>
      </c>
      <c r="C590" s="1">
        <v>45605</v>
      </c>
      <c r="D590">
        <v>65</v>
      </c>
      <c r="E590" t="s">
        <v>383</v>
      </c>
      <c r="F590" t="s">
        <v>47</v>
      </c>
      <c r="G590" t="s">
        <v>26</v>
      </c>
      <c r="H590">
        <v>11</v>
      </c>
      <c r="I590" s="5">
        <v>126680</v>
      </c>
      <c r="J590" t="str" cm="1">
        <f t="array" ref="J59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90">
        <v>825</v>
      </c>
      <c r="L590" t="s">
        <v>17</v>
      </c>
      <c r="M590">
        <v>1</v>
      </c>
      <c r="N590">
        <v>4081</v>
      </c>
      <c r="O590" t="str" cm="1">
        <f t="array" ref="O59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90" t="s">
        <v>60</v>
      </c>
      <c r="Q590" s="5">
        <v>41600</v>
      </c>
      <c r="R590">
        <v>12</v>
      </c>
      <c r="S590">
        <v>6.52</v>
      </c>
      <c r="T590">
        <v>3590.31</v>
      </c>
      <c r="U590">
        <v>72.7</v>
      </c>
      <c r="V590" t="str" cm="1">
        <f t="array" ref="V59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90" t="s">
        <v>24</v>
      </c>
      <c r="X590">
        <v>120</v>
      </c>
      <c r="Y590">
        <v>1</v>
      </c>
      <c r="Z590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90" s="5">
        <f>IF(Merge1[[#This Row],[loan_applications.defaulted]]=1,Merge1[[#This Row],[loan_applications.loan_amount]],0)</f>
        <v>41600</v>
      </c>
    </row>
    <row r="591" spans="1:27" x14ac:dyDescent="0.35">
      <c r="A591" t="s">
        <v>1150</v>
      </c>
      <c r="B591" t="s">
        <v>1151</v>
      </c>
      <c r="C591" s="1">
        <v>45806</v>
      </c>
      <c r="D591">
        <v>53</v>
      </c>
      <c r="E591" t="s">
        <v>193</v>
      </c>
      <c r="F591" t="s">
        <v>62</v>
      </c>
      <c r="G591" t="s">
        <v>26</v>
      </c>
      <c r="H591">
        <v>18</v>
      </c>
      <c r="I591" s="5">
        <v>61327</v>
      </c>
      <c r="J591" t="str" cm="1">
        <f t="array" ref="J591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91">
        <v>849</v>
      </c>
      <c r="L591" t="s">
        <v>34</v>
      </c>
      <c r="M591">
        <v>3</v>
      </c>
      <c r="N591">
        <v>1892</v>
      </c>
      <c r="O591" t="str" cm="1">
        <f t="array" ref="O59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91" t="s">
        <v>60</v>
      </c>
      <c r="Q591" s="5">
        <v>4800</v>
      </c>
      <c r="R591">
        <v>36</v>
      </c>
      <c r="S591">
        <v>9.7799999999999994</v>
      </c>
      <c r="T591">
        <v>154.38999999999999</v>
      </c>
      <c r="U591">
        <v>40</v>
      </c>
      <c r="V591" t="str" cm="1">
        <f t="array" ref="V59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91" t="s">
        <v>41</v>
      </c>
      <c r="X591">
        <v>0</v>
      </c>
      <c r="Y591">
        <v>0</v>
      </c>
      <c r="Z591" s="5">
        <f>IF(Merge1[[#This Row],[loan_applications.defaulted]]=0,Merge1[[#This Row],[loan_applications.loan_amount]]*(Merge1[[#This Row],[loan_applications.interest_rate]]/100)*(Merge1[[#This Row],[loan_applications.term_months]]/12),0)</f>
        <v>1408.32</v>
      </c>
      <c r="AA591" s="5">
        <f>IF(Merge1[[#This Row],[loan_applications.defaulted]]=1,Merge1[[#This Row],[loan_applications.loan_amount]],0)</f>
        <v>0</v>
      </c>
    </row>
    <row r="592" spans="1:27" x14ac:dyDescent="0.35">
      <c r="A592" t="s">
        <v>1152</v>
      </c>
      <c r="B592" t="s">
        <v>1153</v>
      </c>
      <c r="C592" s="1">
        <v>45374</v>
      </c>
      <c r="D592">
        <v>43</v>
      </c>
      <c r="E592" t="s">
        <v>51</v>
      </c>
      <c r="F592" t="s">
        <v>32</v>
      </c>
      <c r="G592" t="s">
        <v>63</v>
      </c>
      <c r="H592">
        <v>2</v>
      </c>
      <c r="I592" s="5">
        <v>36533</v>
      </c>
      <c r="J592" t="str" cm="1">
        <f t="array" ref="J59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92">
        <v>561</v>
      </c>
      <c r="L592" t="s">
        <v>27</v>
      </c>
      <c r="M592">
        <v>1</v>
      </c>
      <c r="N592">
        <v>1146</v>
      </c>
      <c r="O592" t="str" cm="1">
        <f t="array" ref="O59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92" t="s">
        <v>37</v>
      </c>
      <c r="Q592" s="5">
        <v>13200</v>
      </c>
      <c r="R592">
        <v>48</v>
      </c>
      <c r="S592">
        <v>13.58</v>
      </c>
      <c r="T592">
        <v>357.93</v>
      </c>
      <c r="U592">
        <v>49.4</v>
      </c>
      <c r="V592" t="str" cm="1">
        <f t="array" ref="V59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92" t="s">
        <v>24</v>
      </c>
      <c r="X592">
        <v>38</v>
      </c>
      <c r="Y592">
        <v>1</v>
      </c>
      <c r="Z592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92" s="5">
        <f>IF(Merge1[[#This Row],[loan_applications.defaulted]]=1,Merge1[[#This Row],[loan_applications.loan_amount]],0)</f>
        <v>13200</v>
      </c>
    </row>
    <row r="593" spans="1:27" x14ac:dyDescent="0.35">
      <c r="A593" t="s">
        <v>1154</v>
      </c>
      <c r="B593" t="s">
        <v>1155</v>
      </c>
      <c r="C593" s="1">
        <v>45392</v>
      </c>
      <c r="D593">
        <v>67</v>
      </c>
      <c r="E593" t="s">
        <v>83</v>
      </c>
      <c r="F593" t="s">
        <v>68</v>
      </c>
      <c r="G593" t="s">
        <v>63</v>
      </c>
      <c r="H593">
        <v>23</v>
      </c>
      <c r="I593" s="5">
        <v>23062</v>
      </c>
      <c r="J593" t="str" cm="1">
        <f t="array" ref="J593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93">
        <v>752</v>
      </c>
      <c r="L593" t="s">
        <v>17</v>
      </c>
      <c r="M593">
        <v>4</v>
      </c>
      <c r="N593">
        <v>493</v>
      </c>
      <c r="O593" t="str" cm="1">
        <f t="array" ref="O593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93" t="s">
        <v>45</v>
      </c>
      <c r="Q593" s="5">
        <v>10000</v>
      </c>
      <c r="R593">
        <v>48</v>
      </c>
      <c r="S593">
        <v>9.58</v>
      </c>
      <c r="T593">
        <v>251.61</v>
      </c>
      <c r="U593">
        <v>38.700000000000003</v>
      </c>
      <c r="V593" t="str" cm="1">
        <f t="array" ref="V593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3. 35-45%</v>
      </c>
      <c r="W593" t="s">
        <v>91</v>
      </c>
      <c r="X593">
        <v>15</v>
      </c>
      <c r="Y593">
        <v>0</v>
      </c>
      <c r="Z593" s="5">
        <f>IF(Merge1[[#This Row],[loan_applications.defaulted]]=0,Merge1[[#This Row],[loan_applications.loan_amount]]*(Merge1[[#This Row],[loan_applications.interest_rate]]/100)*(Merge1[[#This Row],[loan_applications.term_months]]/12),0)</f>
        <v>3832</v>
      </c>
      <c r="AA593" s="5">
        <f>IF(Merge1[[#This Row],[loan_applications.defaulted]]=1,Merge1[[#This Row],[loan_applications.loan_amount]],0)</f>
        <v>0</v>
      </c>
    </row>
    <row r="594" spans="1:27" x14ac:dyDescent="0.35">
      <c r="A594" t="s">
        <v>1156</v>
      </c>
      <c r="B594" t="s">
        <v>1157</v>
      </c>
      <c r="C594" s="1">
        <v>45496</v>
      </c>
      <c r="D594">
        <v>33</v>
      </c>
      <c r="E594" t="s">
        <v>42</v>
      </c>
      <c r="F594" t="s">
        <v>62</v>
      </c>
      <c r="G594" t="s">
        <v>26</v>
      </c>
      <c r="H594">
        <v>11</v>
      </c>
      <c r="I594" s="5">
        <v>74731</v>
      </c>
      <c r="J594" t="str" cm="1">
        <f t="array" ref="J594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594">
        <v>663</v>
      </c>
      <c r="L594" t="s">
        <v>17</v>
      </c>
      <c r="M594">
        <v>0</v>
      </c>
      <c r="N594">
        <v>1547</v>
      </c>
      <c r="O594" t="str" cm="1">
        <f t="array" ref="O594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94" t="s">
        <v>23</v>
      </c>
      <c r="Q594" s="5">
        <v>17500</v>
      </c>
      <c r="R594">
        <v>60</v>
      </c>
      <c r="S594">
        <v>9.65</v>
      </c>
      <c r="T594">
        <v>368.82</v>
      </c>
      <c r="U594">
        <v>30.8</v>
      </c>
      <c r="V594" t="str" cm="1">
        <f t="array" ref="V594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94" t="s">
        <v>41</v>
      </c>
      <c r="X594">
        <v>0</v>
      </c>
      <c r="Y594">
        <v>0</v>
      </c>
      <c r="Z594" s="5">
        <f>IF(Merge1[[#This Row],[loan_applications.defaulted]]=0,Merge1[[#This Row],[loan_applications.loan_amount]]*(Merge1[[#This Row],[loan_applications.interest_rate]]/100)*(Merge1[[#This Row],[loan_applications.term_months]]/12),0)</f>
        <v>8443.75</v>
      </c>
      <c r="AA594" s="5">
        <f>IF(Merge1[[#This Row],[loan_applications.defaulted]]=1,Merge1[[#This Row],[loan_applications.loan_amount]],0)</f>
        <v>0</v>
      </c>
    </row>
    <row r="595" spans="1:27" x14ac:dyDescent="0.35">
      <c r="A595" t="s">
        <v>1158</v>
      </c>
      <c r="B595" t="s">
        <v>1159</v>
      </c>
      <c r="C595" s="1">
        <v>45739</v>
      </c>
      <c r="D595">
        <v>28</v>
      </c>
      <c r="E595" t="s">
        <v>42</v>
      </c>
      <c r="F595" t="s">
        <v>15</v>
      </c>
      <c r="G595" t="s">
        <v>33</v>
      </c>
      <c r="H595">
        <v>6</v>
      </c>
      <c r="I595" s="5">
        <v>41704</v>
      </c>
      <c r="J595" t="str" cm="1">
        <f t="array" ref="J595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95">
        <v>543</v>
      </c>
      <c r="L595" t="s">
        <v>34</v>
      </c>
      <c r="M595">
        <v>0</v>
      </c>
      <c r="N595">
        <v>1247</v>
      </c>
      <c r="O595" t="str" cm="1">
        <f t="array" ref="O595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520-599</v>
      </c>
      <c r="P595" t="s">
        <v>37</v>
      </c>
      <c r="Q595" s="5">
        <v>26400</v>
      </c>
      <c r="R595">
        <v>60</v>
      </c>
      <c r="S595">
        <v>11.87</v>
      </c>
      <c r="T595">
        <v>585.52</v>
      </c>
      <c r="U595">
        <v>52.7</v>
      </c>
      <c r="V595" t="str" cm="1">
        <f t="array" ref="V595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95" t="s">
        <v>24</v>
      </c>
      <c r="X595">
        <v>164</v>
      </c>
      <c r="Y595">
        <v>1</v>
      </c>
      <c r="Z595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95" s="5">
        <f>IF(Merge1[[#This Row],[loan_applications.defaulted]]=1,Merge1[[#This Row],[loan_applications.loan_amount]],0)</f>
        <v>26400</v>
      </c>
    </row>
    <row r="596" spans="1:27" x14ac:dyDescent="0.35">
      <c r="A596" t="s">
        <v>1160</v>
      </c>
      <c r="B596" t="s">
        <v>1161</v>
      </c>
      <c r="C596" s="1">
        <v>45729</v>
      </c>
      <c r="D596">
        <v>27</v>
      </c>
      <c r="E596" t="s">
        <v>193</v>
      </c>
      <c r="F596" t="s">
        <v>32</v>
      </c>
      <c r="G596" t="s">
        <v>33</v>
      </c>
      <c r="H596">
        <v>4</v>
      </c>
      <c r="I596" s="5">
        <v>60337</v>
      </c>
      <c r="J596" t="str" cm="1">
        <f t="array" ref="J596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96">
        <v>661</v>
      </c>
      <c r="L596" t="s">
        <v>34</v>
      </c>
      <c r="M596">
        <v>0</v>
      </c>
      <c r="N596">
        <v>2359</v>
      </c>
      <c r="O596" t="str" cm="1">
        <f t="array" ref="O596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650-699</v>
      </c>
      <c r="P596" t="s">
        <v>45</v>
      </c>
      <c r="Q596" s="5">
        <v>34900</v>
      </c>
      <c r="R596">
        <v>36</v>
      </c>
      <c r="S596">
        <v>11.33</v>
      </c>
      <c r="T596">
        <v>1148.04</v>
      </c>
      <c r="U596">
        <v>69.7</v>
      </c>
      <c r="V596" t="str" cm="1">
        <f t="array" ref="V596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596" t="s">
        <v>91</v>
      </c>
      <c r="X596">
        <v>30</v>
      </c>
      <c r="Y596">
        <v>0</v>
      </c>
      <c r="Z596" s="5">
        <f>IF(Merge1[[#This Row],[loan_applications.defaulted]]=0,Merge1[[#This Row],[loan_applications.loan_amount]]*(Merge1[[#This Row],[loan_applications.interest_rate]]/100)*(Merge1[[#This Row],[loan_applications.term_months]]/12),0)</f>
        <v>11862.51</v>
      </c>
      <c r="AA596" s="5">
        <f>IF(Merge1[[#This Row],[loan_applications.defaulted]]=1,Merge1[[#This Row],[loan_applications.loan_amount]],0)</f>
        <v>0</v>
      </c>
    </row>
    <row r="597" spans="1:27" x14ac:dyDescent="0.35">
      <c r="A597" t="s">
        <v>1162</v>
      </c>
      <c r="B597" t="s">
        <v>1163</v>
      </c>
      <c r="C597" s="1">
        <v>45601</v>
      </c>
      <c r="D597">
        <v>23</v>
      </c>
      <c r="E597" t="s">
        <v>109</v>
      </c>
      <c r="F597" t="s">
        <v>15</v>
      </c>
      <c r="G597" t="s">
        <v>26</v>
      </c>
      <c r="H597">
        <v>3</v>
      </c>
      <c r="I597" s="5">
        <v>54617</v>
      </c>
      <c r="J597" t="str" cm="1">
        <f t="array" ref="J597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97">
        <v>773</v>
      </c>
      <c r="L597" t="s">
        <v>17</v>
      </c>
      <c r="M597">
        <v>3</v>
      </c>
      <c r="N597">
        <v>1475</v>
      </c>
      <c r="O597" t="str" cm="1">
        <f t="array" ref="O597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97" t="s">
        <v>60</v>
      </c>
      <c r="Q597" s="5">
        <v>22200</v>
      </c>
      <c r="R597">
        <v>24</v>
      </c>
      <c r="S597">
        <v>10.19</v>
      </c>
      <c r="T597">
        <v>1026.3699999999999</v>
      </c>
      <c r="U597">
        <v>55</v>
      </c>
      <c r="V597" t="str" cm="1">
        <f t="array" ref="V597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97" t="s">
        <v>41</v>
      </c>
      <c r="X597">
        <v>0</v>
      </c>
      <c r="Y597">
        <v>0</v>
      </c>
      <c r="Z597" s="5">
        <f>IF(Merge1[[#This Row],[loan_applications.defaulted]]=0,Merge1[[#This Row],[loan_applications.loan_amount]]*(Merge1[[#This Row],[loan_applications.interest_rate]]/100)*(Merge1[[#This Row],[loan_applications.term_months]]/12),0)</f>
        <v>4524.3599999999997</v>
      </c>
      <c r="AA597" s="5">
        <f>IF(Merge1[[#This Row],[loan_applications.defaulted]]=1,Merge1[[#This Row],[loan_applications.loan_amount]],0)</f>
        <v>0</v>
      </c>
    </row>
    <row r="598" spans="1:27" x14ac:dyDescent="0.35">
      <c r="A598" t="s">
        <v>1164</v>
      </c>
      <c r="B598" t="s">
        <v>1163</v>
      </c>
      <c r="C598" s="1">
        <v>45694</v>
      </c>
      <c r="D598">
        <v>23</v>
      </c>
      <c r="E598" t="s">
        <v>109</v>
      </c>
      <c r="F598" t="s">
        <v>15</v>
      </c>
      <c r="G598" t="s">
        <v>26</v>
      </c>
      <c r="H598">
        <v>3</v>
      </c>
      <c r="I598" s="5">
        <v>54617</v>
      </c>
      <c r="J598" t="str" cm="1">
        <f t="array" ref="J598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598">
        <v>773</v>
      </c>
      <c r="L598" t="s">
        <v>17</v>
      </c>
      <c r="M598">
        <v>3</v>
      </c>
      <c r="N598">
        <v>1475</v>
      </c>
      <c r="O598" t="str" cm="1">
        <f t="array" ref="O598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98" t="s">
        <v>71</v>
      </c>
      <c r="Q598" s="5">
        <v>29100</v>
      </c>
      <c r="R598">
        <v>36</v>
      </c>
      <c r="S598">
        <v>7.38</v>
      </c>
      <c r="T598">
        <v>903.59</v>
      </c>
      <c r="U598">
        <v>52.3</v>
      </c>
      <c r="V598" t="str" cm="1">
        <f t="array" ref="V598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4. 45-60%</v>
      </c>
      <c r="W598" t="s">
        <v>24</v>
      </c>
      <c r="X598">
        <v>31</v>
      </c>
      <c r="Y598">
        <v>1</v>
      </c>
      <c r="Z598" s="5">
        <f>IF(Merge1[[#This Row],[loan_applications.defaulted]]=0,Merge1[[#This Row],[loan_applications.loan_amount]]*(Merge1[[#This Row],[loan_applications.interest_rate]]/100)*(Merge1[[#This Row],[loan_applications.term_months]]/12),0)</f>
        <v>0</v>
      </c>
      <c r="AA598" s="5">
        <f>IF(Merge1[[#This Row],[loan_applications.defaulted]]=1,Merge1[[#This Row],[loan_applications.loan_amount]],0)</f>
        <v>29100</v>
      </c>
    </row>
    <row r="599" spans="1:27" x14ac:dyDescent="0.35">
      <c r="A599" t="s">
        <v>1165</v>
      </c>
      <c r="B599" t="s">
        <v>1166</v>
      </c>
      <c r="C599" s="1">
        <v>45401</v>
      </c>
      <c r="D599">
        <v>30</v>
      </c>
      <c r="E599" t="s">
        <v>25</v>
      </c>
      <c r="F599" t="s">
        <v>47</v>
      </c>
      <c r="G599" t="s">
        <v>16</v>
      </c>
      <c r="H599">
        <v>7</v>
      </c>
      <c r="I599" s="5">
        <v>85000</v>
      </c>
      <c r="J599" t="str" cm="1">
        <f t="array" ref="J599">_xlfn.IFS(Merge1[[#This Row],[years_employed]]&lt;2,"&lt;2 Years",Merge1[[#This Row],[years_employed]]&lt;=5,"2-5 Years",Merge1[[#This Row],[years_employed]]&lt;=10,"5-10 Years",Merge1[[#This Row],[years_employed]]&gt;10,"10+ years")</f>
        <v>5-10 Years</v>
      </c>
      <c r="K599">
        <v>845</v>
      </c>
      <c r="L599" t="s">
        <v>34</v>
      </c>
      <c r="M599">
        <v>3</v>
      </c>
      <c r="N599">
        <v>1894</v>
      </c>
      <c r="O599" t="str" cm="1">
        <f t="array" ref="O599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599" t="s">
        <v>30</v>
      </c>
      <c r="Q599" s="5">
        <v>4600</v>
      </c>
      <c r="R599">
        <v>12</v>
      </c>
      <c r="S599">
        <v>7.27</v>
      </c>
      <c r="T599">
        <v>398.6</v>
      </c>
      <c r="U599">
        <v>32.4</v>
      </c>
      <c r="V599" t="str" cm="1">
        <f t="array" ref="V599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599" t="s">
        <v>41</v>
      </c>
      <c r="X599">
        <v>0</v>
      </c>
      <c r="Y599">
        <v>0</v>
      </c>
      <c r="Z599" s="5">
        <f>IF(Merge1[[#This Row],[loan_applications.defaulted]]=0,Merge1[[#This Row],[loan_applications.loan_amount]]*(Merge1[[#This Row],[loan_applications.interest_rate]]/100)*(Merge1[[#This Row],[loan_applications.term_months]]/12),0)</f>
        <v>334.42</v>
      </c>
      <c r="AA599" s="5">
        <f>IF(Merge1[[#This Row],[loan_applications.defaulted]]=1,Merge1[[#This Row],[loan_applications.loan_amount]],0)</f>
        <v>0</v>
      </c>
    </row>
    <row r="600" spans="1:27" x14ac:dyDescent="0.35">
      <c r="A600" t="s">
        <v>1167</v>
      </c>
      <c r="B600" t="s">
        <v>1168</v>
      </c>
      <c r="C600" s="1">
        <v>45346</v>
      </c>
      <c r="D600">
        <v>62</v>
      </c>
      <c r="E600" t="s">
        <v>95</v>
      </c>
      <c r="F600" t="s">
        <v>32</v>
      </c>
      <c r="G600" t="s">
        <v>26</v>
      </c>
      <c r="H600">
        <v>14</v>
      </c>
      <c r="I600" s="5">
        <v>62749</v>
      </c>
      <c r="J600" t="str" cm="1">
        <f t="array" ref="J600">_xlfn.IFS(Merge1[[#This Row],[years_employed]]&lt;2,"&lt;2 Years",Merge1[[#This Row],[years_employed]]&lt;=5,"2-5 Years",Merge1[[#This Row],[years_employed]]&lt;=10,"5-10 Years",Merge1[[#This Row],[years_employed]]&gt;10,"10+ years")</f>
        <v>10+ years</v>
      </c>
      <c r="K600">
        <v>811</v>
      </c>
      <c r="L600" t="s">
        <v>17</v>
      </c>
      <c r="M600">
        <v>1</v>
      </c>
      <c r="N600">
        <v>1339</v>
      </c>
      <c r="O600" t="str" cm="1">
        <f t="array" ref="O600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750+</v>
      </c>
      <c r="P600" t="s">
        <v>45</v>
      </c>
      <c r="Q600" s="5">
        <v>7800</v>
      </c>
      <c r="R600">
        <v>60</v>
      </c>
      <c r="S600">
        <v>9.86</v>
      </c>
      <c r="T600">
        <v>165.19</v>
      </c>
      <c r="U600">
        <v>28.8</v>
      </c>
      <c r="V600" t="str" cm="1">
        <f t="array" ref="V600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2. 20-35%</v>
      </c>
      <c r="W600" t="s">
        <v>41</v>
      </c>
      <c r="X600">
        <v>0</v>
      </c>
      <c r="Y600">
        <v>0</v>
      </c>
      <c r="Z600" s="5">
        <f>IF(Merge1[[#This Row],[loan_applications.defaulted]]=0,Merge1[[#This Row],[loan_applications.loan_amount]]*(Merge1[[#This Row],[loan_applications.interest_rate]]/100)*(Merge1[[#This Row],[loan_applications.term_months]]/12),0)</f>
        <v>3845.3999999999996</v>
      </c>
      <c r="AA600" s="5">
        <f>IF(Merge1[[#This Row],[loan_applications.defaulted]]=1,Merge1[[#This Row],[loan_applications.loan_amount]],0)</f>
        <v>0</v>
      </c>
    </row>
    <row r="601" spans="1:27" x14ac:dyDescent="0.35">
      <c r="A601" t="s">
        <v>1169</v>
      </c>
      <c r="B601" t="s">
        <v>1170</v>
      </c>
      <c r="C601" s="1">
        <v>45610</v>
      </c>
      <c r="D601">
        <v>31</v>
      </c>
      <c r="E601" t="s">
        <v>109</v>
      </c>
      <c r="F601" t="s">
        <v>68</v>
      </c>
      <c r="G601" t="s">
        <v>26</v>
      </c>
      <c r="H601">
        <v>5</v>
      </c>
      <c r="I601" s="5">
        <v>67070</v>
      </c>
      <c r="J601" t="str" cm="1">
        <f t="array" ref="J601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601">
        <v>604</v>
      </c>
      <c r="L601" t="s">
        <v>34</v>
      </c>
      <c r="M601">
        <v>0</v>
      </c>
      <c r="N601">
        <v>2856</v>
      </c>
      <c r="O601" t="str" cm="1">
        <f t="array" ref="O601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601" t="s">
        <v>50</v>
      </c>
      <c r="Q601" s="5">
        <v>26400</v>
      </c>
      <c r="R601">
        <v>24</v>
      </c>
      <c r="S601">
        <v>11.44</v>
      </c>
      <c r="T601">
        <v>1235.8499999999999</v>
      </c>
      <c r="U601">
        <v>73.2</v>
      </c>
      <c r="V601" t="str" cm="1">
        <f t="array" ref="V601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601" t="s">
        <v>91</v>
      </c>
      <c r="X601">
        <v>15</v>
      </c>
      <c r="Y601">
        <v>0</v>
      </c>
      <c r="Z601" s="5">
        <f>IF(Merge1[[#This Row],[loan_applications.defaulted]]=0,Merge1[[#This Row],[loan_applications.loan_amount]]*(Merge1[[#This Row],[loan_applications.interest_rate]]/100)*(Merge1[[#This Row],[loan_applications.term_months]]/12),0)</f>
        <v>6040.32</v>
      </c>
      <c r="AA601" s="5">
        <f>IF(Merge1[[#This Row],[loan_applications.defaulted]]=1,Merge1[[#This Row],[loan_applications.loan_amount]],0)</f>
        <v>0</v>
      </c>
    </row>
    <row r="602" spans="1:27" x14ac:dyDescent="0.35">
      <c r="A602" t="s">
        <v>1171</v>
      </c>
      <c r="B602" t="s">
        <v>1170</v>
      </c>
      <c r="C602" s="1">
        <v>45415</v>
      </c>
      <c r="D602">
        <v>31</v>
      </c>
      <c r="E602" t="s">
        <v>109</v>
      </c>
      <c r="F602" t="s">
        <v>68</v>
      </c>
      <c r="G602" t="s">
        <v>26</v>
      </c>
      <c r="H602">
        <v>5</v>
      </c>
      <c r="I602" s="5">
        <v>67070</v>
      </c>
      <c r="J602" t="str" cm="1">
        <f t="array" ref="J602">_xlfn.IFS(Merge1[[#This Row],[years_employed]]&lt;2,"&lt;2 Years",Merge1[[#This Row],[years_employed]]&lt;=5,"2-5 Years",Merge1[[#This Row],[years_employed]]&lt;=10,"5-10 Years",Merge1[[#This Row],[years_employed]]&gt;10,"10+ years")</f>
        <v>2-5 Years</v>
      </c>
      <c r="K602">
        <v>604</v>
      </c>
      <c r="L602" t="s">
        <v>34</v>
      </c>
      <c r="M602">
        <v>0</v>
      </c>
      <c r="N602">
        <v>2856</v>
      </c>
      <c r="O602" t="str" cm="1">
        <f t="array" ref="O602">_xlfn.IFS(Merge1[[#This Row],[credit_score]]&lt;520,"below 520",Merge1[[#This Row],[credit_score]]&lt;=599,"520-599",Merge1[[#This Row],[credit_score]]&lt;=649,"600-649",Merge1[[#This Row],[credit_score]]&lt;=699,"650-699",Merge1[[#This Row],[credit_score]]&lt;=749,"700-749",Merge1[[#This Row],[credit_score]]&gt;=750,"750+")</f>
        <v>600-649</v>
      </c>
      <c r="P602" t="s">
        <v>71</v>
      </c>
      <c r="Q602" s="5">
        <v>7500</v>
      </c>
      <c r="R602">
        <v>12</v>
      </c>
      <c r="S602">
        <v>10.7</v>
      </c>
      <c r="T602">
        <v>661.81</v>
      </c>
      <c r="U602">
        <v>62.9</v>
      </c>
      <c r="V602" t="str" cm="1">
        <f t="array" ref="V602">_xlfn.IFS(Merge1[[#This Row],[loan_applications.dti_ratio]]&lt;20,"1.&lt;20%",Merge1[[#This Row],[loan_applications.dti_ratio]]&lt;=35,"2. 20-35%",Merge1[[#This Row],[loan_applications.dti_ratio]]&lt;=45,"3. 35-45%",Merge1[[#This Row],[loan_applications.dti_ratio]]&lt;=60,"4. 45-60%",Merge1[[#This Row],[loan_applications.dti_ratio]]&gt;60,"5.&gt;60%")</f>
        <v>5.&gt;60%</v>
      </c>
      <c r="W602" t="s">
        <v>41</v>
      </c>
      <c r="X602">
        <v>0</v>
      </c>
      <c r="Y602">
        <v>0</v>
      </c>
      <c r="Z602" s="5">
        <f>IF(Merge1[[#This Row],[loan_applications.defaulted]]=0,Merge1[[#This Row],[loan_applications.loan_amount]]*(Merge1[[#This Row],[loan_applications.interest_rate]]/100)*(Merge1[[#This Row],[loan_applications.term_months]]/12),0)</f>
        <v>802.5</v>
      </c>
      <c r="AA602" s="5">
        <f>IF(Merge1[[#This Row],[loan_applications.defaulted]]=1,Merge1[[#This Row],[loan_applications.loan_amount]],0)</f>
        <v>0</v>
      </c>
    </row>
    <row r="603" spans="1:27" x14ac:dyDescent="0.35">
      <c r="C603" s="1"/>
      <c r="W603" t="s">
        <v>1222</v>
      </c>
      <c r="Y603">
        <f>COUNT(Y2:Y602)</f>
        <v>601</v>
      </c>
      <c r="Z603" s="5">
        <f>SUM(Z2:Z602)</f>
        <v>3176568.06</v>
      </c>
      <c r="AA603" s="5">
        <f>SUM(AA2:AA602)</f>
        <v>3295300</v>
      </c>
    </row>
    <row r="604" spans="1:27" x14ac:dyDescent="0.35">
      <c r="Y604" s="4">
        <f>AVERAGE(Y2:Y602)</f>
        <v>0.24292845257903495</v>
      </c>
      <c r="Z604" s="5">
        <f>Z603-AA603</f>
        <v>-118731.93999999994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3B0D-C589-4044-B03E-7EE604E56FEA}">
  <dimension ref="E17:V187"/>
  <sheetViews>
    <sheetView showGridLines="0" topLeftCell="A7" zoomScale="57" zoomScaleNormal="57" workbookViewId="0">
      <selection sqref="A1:R39"/>
    </sheetView>
  </sheetViews>
  <sheetFormatPr defaultRowHeight="14.5" x14ac:dyDescent="0.35"/>
  <sheetData>
    <row r="17" spans="5:5" x14ac:dyDescent="0.35">
      <c r="E17" s="7"/>
    </row>
    <row r="187" spans="22:22" x14ac:dyDescent="0.35">
      <c r="V187" t="s">
        <v>1231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FEF9B1-F69D-4A38-981B-13B6222A3C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Credit Score</vt:lpstr>
      <vt:lpstr>DTI Ratio</vt:lpstr>
      <vt:lpstr>Dti Threshold</vt:lpstr>
      <vt:lpstr>Loan purpose</vt:lpstr>
      <vt:lpstr>Employment Status</vt:lpstr>
      <vt:lpstr>Credit score cut off</vt:lpstr>
      <vt:lpstr>Main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InnoAkuv C</dc:creator>
  <cp:lastModifiedBy>InnoAkuv C</cp:lastModifiedBy>
  <dcterms:created xsi:type="dcterms:W3CDTF">2026-10-21T09:36:09Z</dcterms:created>
  <dcterms:modified xsi:type="dcterms:W3CDTF">2026-10-23T16:56:19Z</dcterms:modified>
</cp:coreProperties>
</file>